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chelena\Desktop\"/>
    </mc:Choice>
  </mc:AlternateContent>
  <xr:revisionPtr revIDLastSave="0" documentId="8_{535BAFAA-CA65-420D-9141-FA818B0DCA1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VSM Actual" sheetId="1" r:id="rId1"/>
    <sheet name="VSM Futuro" sheetId="5" r:id="rId2"/>
    <sheet name="Hoja3" sheetId="3" r:id="rId3"/>
  </sheets>
  <calcPr calcId="191029"/>
</workbook>
</file>

<file path=xl/calcChain.xml><?xml version="1.0" encoding="utf-8"?>
<calcChain xmlns="http://schemas.openxmlformats.org/spreadsheetml/2006/main">
  <c r="L70" i="5" l="1"/>
  <c r="V65" i="5"/>
  <c r="L92" i="5"/>
  <c r="W8" i="5"/>
  <c r="L105" i="5"/>
  <c r="P82" i="5"/>
  <c r="L81" i="5"/>
  <c r="L54" i="5"/>
  <c r="L43" i="5"/>
  <c r="N23" i="5"/>
  <c r="N20" i="5"/>
  <c r="N23" i="1"/>
  <c r="N20" i="1"/>
  <c r="P82" i="1"/>
  <c r="L105" i="1"/>
  <c r="L70" i="1"/>
  <c r="L81" i="1"/>
  <c r="L92" i="1"/>
  <c r="E54" i="1"/>
  <c r="D67" i="1"/>
  <c r="L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Michelena</author>
  </authors>
  <commentList>
    <comment ref="K18" authorId="0" shapeId="0" xr:uid="{7FE7F5C0-2E1D-42A2-B924-48E8A25BB9B1}">
      <text>
        <r>
          <rPr>
            <b/>
            <sz val="9"/>
            <color indexed="81"/>
            <rFont val="Tahoma"/>
            <family val="2"/>
          </rPr>
          <t>Daniel Michelena:</t>
        </r>
        <r>
          <rPr>
            <sz val="9"/>
            <color indexed="81"/>
            <rFont val="Tahoma"/>
            <family val="2"/>
          </rPr>
          <t xml:space="preserve">
 columnas se forman mediante perfiles y placas</t>
        </r>
      </text>
    </comment>
  </commentList>
</comments>
</file>

<file path=xl/sharedStrings.xml><?xml version="1.0" encoding="utf-8"?>
<sst xmlns="http://schemas.openxmlformats.org/spreadsheetml/2006/main" count="178" uniqueCount="43">
  <si>
    <t>C/O</t>
  </si>
  <si>
    <t>C/T</t>
  </si>
  <si>
    <t>Q/R</t>
  </si>
  <si>
    <t>T. Disponible</t>
  </si>
  <si>
    <t>Lote</t>
  </si>
  <si>
    <t>Up-Time</t>
  </si>
  <si>
    <t>Maquina Thor Placa</t>
  </si>
  <si>
    <t>Maquina Hight Speed</t>
  </si>
  <si>
    <t>Corte de Placa</t>
  </si>
  <si>
    <t>Corte Perfil</t>
  </si>
  <si>
    <t>Maquina BDL</t>
  </si>
  <si>
    <t>Maquina FBP</t>
  </si>
  <si>
    <t>Maquina Peddibot</t>
  </si>
  <si>
    <t>Corte Placa</t>
  </si>
  <si>
    <t>Pantografo</t>
  </si>
  <si>
    <t>Biselado de Placa</t>
  </si>
  <si>
    <t>Alamacen de Partes</t>
  </si>
  <si>
    <t>Alamacen de perfiles</t>
  </si>
  <si>
    <t>Almacen de Perfiles</t>
  </si>
  <si>
    <t>Anden</t>
  </si>
  <si>
    <t>Alamcen Placas</t>
  </si>
  <si>
    <t>Usado Para Chatarra Actualmente</t>
  </si>
  <si>
    <t>Nave 3</t>
  </si>
  <si>
    <t>Nave 2</t>
  </si>
  <si>
    <t>Nave 1</t>
  </si>
  <si>
    <t>Almacen de Partes</t>
  </si>
  <si>
    <t>Area de descarga Materia Prima</t>
  </si>
  <si>
    <t>Terreno Materia Almacen Primario de Materia Prima</t>
  </si>
  <si>
    <t>Area Formacion de Paquetes</t>
  </si>
  <si>
    <t>Armado de Paquetes</t>
  </si>
  <si>
    <t>Takt</t>
  </si>
  <si>
    <t>Area de Habilitado para produccion de armables en Planta Metalmecanica</t>
  </si>
  <si>
    <t>Pitch Time</t>
  </si>
  <si>
    <t>Horas/toneladas</t>
  </si>
  <si>
    <t>Maquina semi atomaticas</t>
  </si>
  <si>
    <t>Anden de Materia Prima</t>
  </si>
  <si>
    <t>Equipos semiautomaticos</t>
  </si>
  <si>
    <t>Bisel de Placa y perfil</t>
  </si>
  <si>
    <t xml:space="preserve"> 1 Carro de distribucion de Perfiles</t>
  </si>
  <si>
    <t xml:space="preserve"> 3 Carros de distribucion de Perfiles</t>
  </si>
  <si>
    <t>solo para cubrir demanda de 4 lotes</t>
  </si>
  <si>
    <t>Area de Habilitado para producción de armables en Planta Metalmecanica</t>
  </si>
  <si>
    <t>Los paquetes se forman de perfiles y placas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</si>
</sst>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  <font>
      <b/>
      <sz val="8"/>
      <name val="Century Gothic"/>
      <family val="2"/>
    </font>
    <font>
      <b/>
      <sz val="10"/>
      <color indexed="10"/>
      <name val="Century Gothic"/>
      <family val="2"/>
    </font>
    <font>
      <b/>
      <sz val="20"/>
      <name val="Century Gothic"/>
      <family val="2"/>
    </font>
    <font>
      <b/>
      <sz val="10"/>
      <name val="Arial"/>
      <family val="2"/>
    </font>
    <font>
      <b/>
      <sz val="12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3" fillId="2" borderId="4" xfId="0" applyFont="1" applyFill="1" applyBorder="1"/>
    <xf numFmtId="0" fontId="3" fillId="2" borderId="5" xfId="0" applyFont="1" applyFill="1" applyBorder="1"/>
    <xf numFmtId="0" fontId="4" fillId="2" borderId="1" xfId="0" applyFont="1" applyFill="1" applyBorder="1"/>
    <xf numFmtId="2" fontId="3" fillId="2" borderId="3" xfId="0" applyNumberFormat="1" applyFont="1" applyFill="1" applyBorder="1" applyAlignment="1">
      <alignment horizontal="left"/>
    </xf>
    <xf numFmtId="0" fontId="5" fillId="2" borderId="6" xfId="0" applyFont="1" applyFill="1" applyBorder="1"/>
    <xf numFmtId="0" fontId="6" fillId="2" borderId="7" xfId="0" applyFont="1" applyFill="1" applyBorder="1"/>
    <xf numFmtId="0" fontId="5" fillId="0" borderId="1" xfId="0" applyFont="1" applyBorder="1"/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0" fontId="5" fillId="0" borderId="6" xfId="0" applyFont="1" applyBorder="1"/>
    <xf numFmtId="0" fontId="2" fillId="0" borderId="10" xfId="0" applyFont="1" applyBorder="1"/>
    <xf numFmtId="0" fontId="2" fillId="0" borderId="4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7" xfId="0" applyFont="1" applyBorder="1"/>
    <xf numFmtId="0" fontId="3" fillId="2" borderId="0" xfId="0" applyFont="1" applyFill="1"/>
    <xf numFmtId="2" fontId="3" fillId="2" borderId="0" xfId="0" applyNumberFormat="1" applyFont="1" applyFill="1" applyAlignment="1">
      <alignment horizontal="left"/>
    </xf>
    <xf numFmtId="0" fontId="6" fillId="2" borderId="0" xfId="0" applyFont="1" applyFill="1"/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left"/>
    </xf>
    <xf numFmtId="0" fontId="6" fillId="0" borderId="0" xfId="0" applyFont="1"/>
    <xf numFmtId="0" fontId="5" fillId="0" borderId="0" xfId="0" applyFont="1"/>
    <xf numFmtId="0" fontId="8" fillId="0" borderId="3" xfId="0" applyFont="1" applyBorder="1"/>
    <xf numFmtId="0" fontId="8" fillId="0" borderId="0" xfId="0" applyFont="1"/>
    <xf numFmtId="0" fontId="5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5" fillId="0" borderId="8" xfId="0" applyFont="1" applyBorder="1" applyAlignment="1">
      <alignment horizontal="center" textRotation="90" wrapText="1"/>
    </xf>
    <xf numFmtId="0" fontId="9" fillId="0" borderId="9" xfId="0" applyFont="1" applyBorder="1" applyAlignment="1">
      <alignment horizontal="center" textRotation="90" wrapText="1"/>
    </xf>
    <xf numFmtId="0" fontId="9" fillId="0" borderId="9" xfId="0" applyFont="1" applyBorder="1" applyAlignment="1">
      <alignment horizontal="center" vertical="center" wrapText="1"/>
    </xf>
    <xf numFmtId="0" fontId="5" fillId="0" borderId="4" xfId="0" applyFont="1" applyBorder="1"/>
    <xf numFmtId="0" fontId="10" fillId="0" borderId="4" xfId="0" applyFont="1" applyBorder="1"/>
    <xf numFmtId="10" fontId="7" fillId="0" borderId="9" xfId="0" applyNumberFormat="1" applyFont="1" applyBorder="1" applyAlignment="1">
      <alignment horizontal="center"/>
    </xf>
    <xf numFmtId="0" fontId="10" fillId="2" borderId="4" xfId="0" applyFont="1" applyFill="1" applyBorder="1"/>
    <xf numFmtId="10" fontId="7" fillId="0" borderId="0" xfId="0" applyNumberFormat="1" applyFont="1" applyAlignment="1">
      <alignment horizontal="center"/>
    </xf>
    <xf numFmtId="4" fontId="2" fillId="0" borderId="0" xfId="0" applyNumberFormat="1" applyFont="1"/>
    <xf numFmtId="0" fontId="5" fillId="0" borderId="12" xfId="0" applyFont="1" applyBorder="1"/>
    <xf numFmtId="4" fontId="5" fillId="0" borderId="12" xfId="0" applyNumberFormat="1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7" xfId="0" applyFont="1" applyBorder="1"/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4" xfId="0" applyFont="1" applyBorder="1"/>
    <xf numFmtId="0" fontId="4" fillId="0" borderId="4" xfId="0" applyFont="1" applyBorder="1"/>
    <xf numFmtId="0" fontId="2" fillId="0" borderId="11" xfId="0" applyFont="1" applyBorder="1"/>
    <xf numFmtId="0" fontId="5" fillId="0" borderId="8" xfId="0" applyFont="1" applyBorder="1" applyAlignment="1">
      <alignment horizontal="center" textRotation="90" wrapText="1"/>
    </xf>
    <xf numFmtId="0" fontId="9" fillId="0" borderId="9" xfId="0" applyFont="1" applyBorder="1" applyAlignment="1">
      <alignment horizontal="center" textRotation="90" wrapText="1"/>
    </xf>
    <xf numFmtId="0" fontId="5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47</xdr:row>
      <xdr:rowOff>38100</xdr:rowOff>
    </xdr:from>
    <xdr:to>
      <xdr:col>3</xdr:col>
      <xdr:colOff>266700</xdr:colOff>
      <xdr:row>47</xdr:row>
      <xdr:rowOff>219075</xdr:rowOff>
    </xdr:to>
    <xdr:grpSp>
      <xdr:nvGrpSpPr>
        <xdr:cNvPr id="1383" name="Group 232">
          <a:extLst>
            <a:ext uri="{FF2B5EF4-FFF2-40B4-BE49-F238E27FC236}">
              <a16:creationId xmlns:a16="http://schemas.microsoft.com/office/drawing/2014/main" id="{83971626-6951-4DFF-BB8C-1BE545B43E2F}"/>
            </a:ext>
          </a:extLst>
        </xdr:cNvPr>
        <xdr:cNvGrpSpPr>
          <a:grpSpLocks/>
        </xdr:cNvGrpSpPr>
      </xdr:nvGrpSpPr>
      <xdr:grpSpPr bwMode="auto">
        <a:xfrm>
          <a:off x="2402205" y="8321040"/>
          <a:ext cx="219075" cy="180975"/>
          <a:chOff x="304" y="241"/>
          <a:chExt cx="29" cy="29"/>
        </a:xfrm>
      </xdr:grpSpPr>
      <xdr:sp macro="" textlink="">
        <xdr:nvSpPr>
          <xdr:cNvPr id="1400" name="Oval 233">
            <a:extLst>
              <a:ext uri="{FF2B5EF4-FFF2-40B4-BE49-F238E27FC236}">
                <a16:creationId xmlns:a16="http://schemas.microsoft.com/office/drawing/2014/main" id="{FEED6636-B16B-4980-BCC4-42A76CDE24A0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01" name="AutoShape 234">
            <a:extLst>
              <a:ext uri="{FF2B5EF4-FFF2-40B4-BE49-F238E27FC236}">
                <a16:creationId xmlns:a16="http://schemas.microsoft.com/office/drawing/2014/main" id="{9FE945A3-BB0E-43B3-83F2-EEF73A4098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38100</xdr:colOff>
      <xdr:row>21</xdr:row>
      <xdr:rowOff>7620</xdr:rowOff>
    </xdr:from>
    <xdr:to>
      <xdr:col>3</xdr:col>
      <xdr:colOff>384810</xdr:colOff>
      <xdr:row>46</xdr:row>
      <xdr:rowOff>0</xdr:rowOff>
    </xdr:to>
    <xdr:sp macro="" textlink="">
      <xdr:nvSpPr>
        <xdr:cNvPr id="1384" name="AutoShape 235">
          <a:extLst>
            <a:ext uri="{FF2B5EF4-FFF2-40B4-BE49-F238E27FC236}">
              <a16:creationId xmlns:a16="http://schemas.microsoft.com/office/drawing/2014/main" id="{CEF14620-6203-4C4A-B8A3-5A1ED9C4C3EB}"/>
            </a:ext>
          </a:extLst>
        </xdr:cNvPr>
        <xdr:cNvSpPr>
          <a:spLocks noChangeArrowheads="1"/>
        </xdr:cNvSpPr>
      </xdr:nvSpPr>
      <xdr:spPr bwMode="auto">
        <a:xfrm rot="5400000">
          <a:off x="318135" y="5633085"/>
          <a:ext cx="449580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9524</xdr:colOff>
      <xdr:row>46</xdr:row>
      <xdr:rowOff>104775</xdr:rowOff>
    </xdr:from>
    <xdr:to>
      <xdr:col>6</xdr:col>
      <xdr:colOff>769619</xdr:colOff>
      <xdr:row>48</xdr:row>
      <xdr:rowOff>9525</xdr:rowOff>
    </xdr:to>
    <xdr:sp macro="" textlink="">
      <xdr:nvSpPr>
        <xdr:cNvPr id="1385" name="AutoShape 236">
          <a:extLst>
            <a:ext uri="{FF2B5EF4-FFF2-40B4-BE49-F238E27FC236}">
              <a16:creationId xmlns:a16="http://schemas.microsoft.com/office/drawing/2014/main" id="{92CE7345-D1A9-47E9-80C6-E655165521B4}"/>
            </a:ext>
          </a:extLst>
        </xdr:cNvPr>
        <xdr:cNvSpPr>
          <a:spLocks noChangeArrowheads="1"/>
        </xdr:cNvSpPr>
      </xdr:nvSpPr>
      <xdr:spPr bwMode="auto">
        <a:xfrm>
          <a:off x="3148964" y="8159115"/>
          <a:ext cx="154495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782955</xdr:colOff>
      <xdr:row>110</xdr:row>
      <xdr:rowOff>121920</xdr:rowOff>
    </xdr:from>
    <xdr:to>
      <xdr:col>12</xdr:col>
      <xdr:colOff>782955</xdr:colOff>
      <xdr:row>113</xdr:row>
      <xdr:rowOff>93345</xdr:rowOff>
    </xdr:to>
    <xdr:grpSp>
      <xdr:nvGrpSpPr>
        <xdr:cNvPr id="1386" name="Group 245">
          <a:extLst>
            <a:ext uri="{FF2B5EF4-FFF2-40B4-BE49-F238E27FC236}">
              <a16:creationId xmlns:a16="http://schemas.microsoft.com/office/drawing/2014/main" id="{45278C2B-1356-4032-8D01-FCCC24FBFBB6}"/>
            </a:ext>
          </a:extLst>
        </xdr:cNvPr>
        <xdr:cNvGrpSpPr>
          <a:grpSpLocks/>
        </xdr:cNvGrpSpPr>
      </xdr:nvGrpSpPr>
      <xdr:grpSpPr bwMode="auto">
        <a:xfrm>
          <a:off x="7412355" y="19773900"/>
          <a:ext cx="2964180" cy="474345"/>
          <a:chOff x="79" y="968"/>
          <a:chExt cx="303" cy="36"/>
        </a:xfrm>
      </xdr:grpSpPr>
      <xdr:sp macro="" textlink="">
        <xdr:nvSpPr>
          <xdr:cNvPr id="1395" name="Line 237">
            <a:extLst>
              <a:ext uri="{FF2B5EF4-FFF2-40B4-BE49-F238E27FC236}">
                <a16:creationId xmlns:a16="http://schemas.microsoft.com/office/drawing/2014/main" id="{83E28750-BE57-4DE1-9E89-C463E2B5A941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6" name="Line 241">
            <a:extLst>
              <a:ext uri="{FF2B5EF4-FFF2-40B4-BE49-F238E27FC236}">
                <a16:creationId xmlns:a16="http://schemas.microsoft.com/office/drawing/2014/main" id="{8E0283C2-D47C-4D8C-AB40-C58923CDE9D1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7" name="Line 242">
            <a:extLst>
              <a:ext uri="{FF2B5EF4-FFF2-40B4-BE49-F238E27FC236}">
                <a16:creationId xmlns:a16="http://schemas.microsoft.com/office/drawing/2014/main" id="{CB863649-FA69-4608-BFEB-DB3B95D6A008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8" name="Line 243">
            <a:extLst>
              <a:ext uri="{FF2B5EF4-FFF2-40B4-BE49-F238E27FC236}">
                <a16:creationId xmlns:a16="http://schemas.microsoft.com/office/drawing/2014/main" id="{0C48F587-93CF-4D80-A968-CCE01821B021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9" name="Line 244">
            <a:extLst>
              <a:ext uri="{FF2B5EF4-FFF2-40B4-BE49-F238E27FC236}">
                <a16:creationId xmlns:a16="http://schemas.microsoft.com/office/drawing/2014/main" id="{D883740D-9CC6-44E1-B535-22E88BDA6798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19050</xdr:colOff>
      <xdr:row>31</xdr:row>
      <xdr:rowOff>19050</xdr:rowOff>
    </xdr:from>
    <xdr:to>
      <xdr:col>20</xdr:col>
      <xdr:colOff>47625</xdr:colOff>
      <xdr:row>34</xdr:row>
      <xdr:rowOff>0</xdr:rowOff>
    </xdr:to>
    <xdr:grpSp>
      <xdr:nvGrpSpPr>
        <xdr:cNvPr id="1387" name="Group 256">
          <a:extLst>
            <a:ext uri="{FF2B5EF4-FFF2-40B4-BE49-F238E27FC236}">
              <a16:creationId xmlns:a16="http://schemas.microsoft.com/office/drawing/2014/main" id="{0F343443-8156-4D78-AFDB-7833358E921F}"/>
            </a:ext>
          </a:extLst>
        </xdr:cNvPr>
        <xdr:cNvGrpSpPr>
          <a:grpSpLocks/>
        </xdr:cNvGrpSpPr>
      </xdr:nvGrpSpPr>
      <xdr:grpSpPr bwMode="auto">
        <a:xfrm>
          <a:off x="15106650" y="5421630"/>
          <a:ext cx="813435" cy="483870"/>
          <a:chOff x="267" y="335"/>
          <a:chExt cx="150" cy="88"/>
        </a:xfrm>
      </xdr:grpSpPr>
      <xdr:sp macro="" textlink="">
        <xdr:nvSpPr>
          <xdr:cNvPr id="1281" name="Rectangle 257">
            <a:extLst>
              <a:ext uri="{FF2B5EF4-FFF2-40B4-BE49-F238E27FC236}">
                <a16:creationId xmlns:a16="http://schemas.microsoft.com/office/drawing/2014/main" id="{E8CF3BEF-8922-4865-9570-BFAD0A2F6923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1389" name="AutoShape 258">
            <a:extLst>
              <a:ext uri="{FF2B5EF4-FFF2-40B4-BE49-F238E27FC236}">
                <a16:creationId xmlns:a16="http://schemas.microsoft.com/office/drawing/2014/main" id="{2A1002B5-5E6D-4FC2-91D7-5242D2DE5283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90" name="AutoShape 259">
            <a:extLst>
              <a:ext uri="{FF2B5EF4-FFF2-40B4-BE49-F238E27FC236}">
                <a16:creationId xmlns:a16="http://schemas.microsoft.com/office/drawing/2014/main" id="{A564DDCB-DDC2-45A3-8A2B-C361AB17DDD7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91" name="AutoShape 260">
            <a:extLst>
              <a:ext uri="{FF2B5EF4-FFF2-40B4-BE49-F238E27FC236}">
                <a16:creationId xmlns:a16="http://schemas.microsoft.com/office/drawing/2014/main" id="{AF73395D-DF49-4723-B242-3B15F2F50787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92" name="AutoShape 261">
            <a:extLst>
              <a:ext uri="{FF2B5EF4-FFF2-40B4-BE49-F238E27FC236}">
                <a16:creationId xmlns:a16="http://schemas.microsoft.com/office/drawing/2014/main" id="{B9EDE75F-BCD4-435E-AE78-52233F481345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93" name="AutoShape 262">
            <a:extLst>
              <a:ext uri="{FF2B5EF4-FFF2-40B4-BE49-F238E27FC236}">
                <a16:creationId xmlns:a16="http://schemas.microsoft.com/office/drawing/2014/main" id="{97146A34-7EC0-4254-A021-0DA19F4A6688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94" name="AutoShape 263">
            <a:extLst>
              <a:ext uri="{FF2B5EF4-FFF2-40B4-BE49-F238E27FC236}">
                <a16:creationId xmlns:a16="http://schemas.microsoft.com/office/drawing/2014/main" id="{2EB320B5-F220-4BE9-B039-1D7BD2443230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47625</xdr:colOff>
      <xdr:row>36</xdr:row>
      <xdr:rowOff>38100</xdr:rowOff>
    </xdr:from>
    <xdr:to>
      <xdr:col>10</xdr:col>
      <xdr:colOff>266700</xdr:colOff>
      <xdr:row>36</xdr:row>
      <xdr:rowOff>165735</xdr:rowOff>
    </xdr:to>
    <xdr:grpSp>
      <xdr:nvGrpSpPr>
        <xdr:cNvPr id="6" name="Group 232">
          <a:extLst>
            <a:ext uri="{FF2B5EF4-FFF2-40B4-BE49-F238E27FC236}">
              <a16:creationId xmlns:a16="http://schemas.microsoft.com/office/drawing/2014/main" id="{1BB7B1F0-1E9E-4544-A474-17FF15829728}"/>
            </a:ext>
          </a:extLst>
        </xdr:cNvPr>
        <xdr:cNvGrpSpPr>
          <a:grpSpLocks/>
        </xdr:cNvGrpSpPr>
      </xdr:nvGrpSpPr>
      <xdr:grpSpPr bwMode="auto">
        <a:xfrm>
          <a:off x="8246745" y="6339840"/>
          <a:ext cx="219075" cy="127635"/>
          <a:chOff x="304" y="241"/>
          <a:chExt cx="29" cy="29"/>
        </a:xfrm>
      </xdr:grpSpPr>
      <xdr:sp macro="" textlink="">
        <xdr:nvSpPr>
          <xdr:cNvPr id="7" name="Oval 233">
            <a:extLst>
              <a:ext uri="{FF2B5EF4-FFF2-40B4-BE49-F238E27FC236}">
                <a16:creationId xmlns:a16="http://schemas.microsoft.com/office/drawing/2014/main" id="{B4175289-B01A-9AA2-C7DA-936DCE9D31F7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" name="AutoShape 234">
            <a:extLst>
              <a:ext uri="{FF2B5EF4-FFF2-40B4-BE49-F238E27FC236}">
                <a16:creationId xmlns:a16="http://schemas.microsoft.com/office/drawing/2014/main" id="{DEED0711-C03C-901A-07EA-1F2C4EDF74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7</xdr:col>
      <xdr:colOff>967741</xdr:colOff>
      <xdr:row>35</xdr:row>
      <xdr:rowOff>129540</xdr:rowOff>
    </xdr:from>
    <xdr:to>
      <xdr:col>10</xdr:col>
      <xdr:colOff>30481</xdr:colOff>
      <xdr:row>37</xdr:row>
      <xdr:rowOff>55245</xdr:rowOff>
    </xdr:to>
    <xdr:sp macro="" textlink="">
      <xdr:nvSpPr>
        <xdr:cNvPr id="9" name="AutoShape 235">
          <a:extLst>
            <a:ext uri="{FF2B5EF4-FFF2-40B4-BE49-F238E27FC236}">
              <a16:creationId xmlns:a16="http://schemas.microsoft.com/office/drawing/2014/main" id="{5FBD0F5E-A1C7-427F-ADE4-35225E9364A3}"/>
            </a:ext>
          </a:extLst>
        </xdr:cNvPr>
        <xdr:cNvSpPr>
          <a:spLocks noChangeArrowheads="1"/>
        </xdr:cNvSpPr>
      </xdr:nvSpPr>
      <xdr:spPr bwMode="auto">
        <a:xfrm>
          <a:off x="5676901" y="6202680"/>
          <a:ext cx="1767840" cy="36766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63</xdr:row>
      <xdr:rowOff>38100</xdr:rowOff>
    </xdr:from>
    <xdr:to>
      <xdr:col>10</xdr:col>
      <xdr:colOff>266700</xdr:colOff>
      <xdr:row>63</xdr:row>
      <xdr:rowOff>165735</xdr:rowOff>
    </xdr:to>
    <xdr:grpSp>
      <xdr:nvGrpSpPr>
        <xdr:cNvPr id="10" name="Group 232">
          <a:extLst>
            <a:ext uri="{FF2B5EF4-FFF2-40B4-BE49-F238E27FC236}">
              <a16:creationId xmlns:a16="http://schemas.microsoft.com/office/drawing/2014/main" id="{65BE11A3-67F0-417B-AE47-F4374D178527}"/>
            </a:ext>
          </a:extLst>
        </xdr:cNvPr>
        <xdr:cNvGrpSpPr>
          <a:grpSpLocks/>
        </xdr:cNvGrpSpPr>
      </xdr:nvGrpSpPr>
      <xdr:grpSpPr bwMode="auto">
        <a:xfrm>
          <a:off x="8246745" y="11254740"/>
          <a:ext cx="219075" cy="127635"/>
          <a:chOff x="304" y="241"/>
          <a:chExt cx="29" cy="29"/>
        </a:xfrm>
      </xdr:grpSpPr>
      <xdr:sp macro="" textlink="">
        <xdr:nvSpPr>
          <xdr:cNvPr id="11" name="Oval 233">
            <a:extLst>
              <a:ext uri="{FF2B5EF4-FFF2-40B4-BE49-F238E27FC236}">
                <a16:creationId xmlns:a16="http://schemas.microsoft.com/office/drawing/2014/main" id="{85C69DEC-809C-B044-913F-A3FCFBD61B1F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" name="AutoShape 234">
            <a:extLst>
              <a:ext uri="{FF2B5EF4-FFF2-40B4-BE49-F238E27FC236}">
                <a16:creationId xmlns:a16="http://schemas.microsoft.com/office/drawing/2014/main" id="{9B7FF132-CF81-E7FC-9649-3A2ED744D5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6</xdr:col>
      <xdr:colOff>251460</xdr:colOff>
      <xdr:row>62</xdr:row>
      <xdr:rowOff>91440</xdr:rowOff>
    </xdr:from>
    <xdr:to>
      <xdr:col>10</xdr:col>
      <xdr:colOff>9525</xdr:colOff>
      <xdr:row>64</xdr:row>
      <xdr:rowOff>47625</xdr:rowOff>
    </xdr:to>
    <xdr:sp macro="" textlink="">
      <xdr:nvSpPr>
        <xdr:cNvPr id="13" name="AutoShape 235">
          <a:extLst>
            <a:ext uri="{FF2B5EF4-FFF2-40B4-BE49-F238E27FC236}">
              <a16:creationId xmlns:a16="http://schemas.microsoft.com/office/drawing/2014/main" id="{F3A4B9F2-8479-4708-9E59-798E4AE1B9BC}"/>
            </a:ext>
          </a:extLst>
        </xdr:cNvPr>
        <xdr:cNvSpPr>
          <a:spLocks noChangeArrowheads="1"/>
        </xdr:cNvSpPr>
      </xdr:nvSpPr>
      <xdr:spPr bwMode="auto">
        <a:xfrm>
          <a:off x="4175760" y="11071860"/>
          <a:ext cx="3248025" cy="40576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10</xdr:col>
      <xdr:colOff>47625</xdr:colOff>
      <xdr:row>74</xdr:row>
      <xdr:rowOff>38100</xdr:rowOff>
    </xdr:from>
    <xdr:to>
      <xdr:col>10</xdr:col>
      <xdr:colOff>266700</xdr:colOff>
      <xdr:row>74</xdr:row>
      <xdr:rowOff>165735</xdr:rowOff>
    </xdr:to>
    <xdr:grpSp>
      <xdr:nvGrpSpPr>
        <xdr:cNvPr id="22" name="Group 232">
          <a:extLst>
            <a:ext uri="{FF2B5EF4-FFF2-40B4-BE49-F238E27FC236}">
              <a16:creationId xmlns:a16="http://schemas.microsoft.com/office/drawing/2014/main" id="{59FED8BD-2D97-496D-9AE7-8D7831B399BF}"/>
            </a:ext>
          </a:extLst>
        </xdr:cNvPr>
        <xdr:cNvGrpSpPr>
          <a:grpSpLocks/>
        </xdr:cNvGrpSpPr>
      </xdr:nvGrpSpPr>
      <xdr:grpSpPr bwMode="auto">
        <a:xfrm>
          <a:off x="8246745" y="13243560"/>
          <a:ext cx="219075" cy="127635"/>
          <a:chOff x="304" y="241"/>
          <a:chExt cx="29" cy="29"/>
        </a:xfrm>
      </xdr:grpSpPr>
      <xdr:sp macro="" textlink="">
        <xdr:nvSpPr>
          <xdr:cNvPr id="23" name="Oval 233">
            <a:extLst>
              <a:ext uri="{FF2B5EF4-FFF2-40B4-BE49-F238E27FC236}">
                <a16:creationId xmlns:a16="http://schemas.microsoft.com/office/drawing/2014/main" id="{38853074-3AB4-64CA-D988-9F652D2C4EF5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4" name="AutoShape 234">
            <a:extLst>
              <a:ext uri="{FF2B5EF4-FFF2-40B4-BE49-F238E27FC236}">
                <a16:creationId xmlns:a16="http://schemas.microsoft.com/office/drawing/2014/main" id="{E1DDCD52-C7F0-CCBC-4CC4-6323883A0B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5</xdr:col>
      <xdr:colOff>754380</xdr:colOff>
      <xdr:row>73</xdr:row>
      <xdr:rowOff>150495</xdr:rowOff>
    </xdr:from>
    <xdr:to>
      <xdr:col>9</xdr:col>
      <xdr:colOff>748665</xdr:colOff>
      <xdr:row>75</xdr:row>
      <xdr:rowOff>55245</xdr:rowOff>
    </xdr:to>
    <xdr:sp macro="" textlink="">
      <xdr:nvSpPr>
        <xdr:cNvPr id="25" name="AutoShape 235">
          <a:extLst>
            <a:ext uri="{FF2B5EF4-FFF2-40B4-BE49-F238E27FC236}">
              <a16:creationId xmlns:a16="http://schemas.microsoft.com/office/drawing/2014/main" id="{BB5DE5B1-BB3C-4416-A448-F7F0ED0B784F}"/>
            </a:ext>
          </a:extLst>
        </xdr:cNvPr>
        <xdr:cNvSpPr>
          <a:spLocks noChangeArrowheads="1"/>
        </xdr:cNvSpPr>
      </xdr:nvSpPr>
      <xdr:spPr bwMode="auto">
        <a:xfrm>
          <a:off x="3893820" y="13119735"/>
          <a:ext cx="348424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85</xdr:row>
      <xdr:rowOff>38100</xdr:rowOff>
    </xdr:from>
    <xdr:to>
      <xdr:col>10</xdr:col>
      <xdr:colOff>266700</xdr:colOff>
      <xdr:row>85</xdr:row>
      <xdr:rowOff>165735</xdr:rowOff>
    </xdr:to>
    <xdr:grpSp>
      <xdr:nvGrpSpPr>
        <xdr:cNvPr id="26" name="Group 232">
          <a:extLst>
            <a:ext uri="{FF2B5EF4-FFF2-40B4-BE49-F238E27FC236}">
              <a16:creationId xmlns:a16="http://schemas.microsoft.com/office/drawing/2014/main" id="{7F611590-9762-4E28-8FB9-C4EF75A51DC6}"/>
            </a:ext>
          </a:extLst>
        </xdr:cNvPr>
        <xdr:cNvGrpSpPr>
          <a:grpSpLocks/>
        </xdr:cNvGrpSpPr>
      </xdr:nvGrpSpPr>
      <xdr:grpSpPr bwMode="auto">
        <a:xfrm>
          <a:off x="8246745" y="15285720"/>
          <a:ext cx="219075" cy="127635"/>
          <a:chOff x="304" y="241"/>
          <a:chExt cx="29" cy="29"/>
        </a:xfrm>
      </xdr:grpSpPr>
      <xdr:sp macro="" textlink="">
        <xdr:nvSpPr>
          <xdr:cNvPr id="27" name="Oval 233">
            <a:extLst>
              <a:ext uri="{FF2B5EF4-FFF2-40B4-BE49-F238E27FC236}">
                <a16:creationId xmlns:a16="http://schemas.microsoft.com/office/drawing/2014/main" id="{5E23AFE5-1C98-9CA9-C318-430B9257E5F6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" name="AutoShape 234">
            <a:extLst>
              <a:ext uri="{FF2B5EF4-FFF2-40B4-BE49-F238E27FC236}">
                <a16:creationId xmlns:a16="http://schemas.microsoft.com/office/drawing/2014/main" id="{BB0B43CE-3C0F-0922-5A68-45B6B51080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190499</xdr:colOff>
      <xdr:row>84</xdr:row>
      <xdr:rowOff>142875</xdr:rowOff>
    </xdr:from>
    <xdr:to>
      <xdr:col>10</xdr:col>
      <xdr:colOff>9524</xdr:colOff>
      <xdr:row>86</xdr:row>
      <xdr:rowOff>47625</xdr:rowOff>
    </xdr:to>
    <xdr:sp macro="" textlink="">
      <xdr:nvSpPr>
        <xdr:cNvPr id="29" name="AutoShape 235">
          <a:extLst>
            <a:ext uri="{FF2B5EF4-FFF2-40B4-BE49-F238E27FC236}">
              <a16:creationId xmlns:a16="http://schemas.microsoft.com/office/drawing/2014/main" id="{1B7A2D20-73F7-4715-8F06-3C8CD286C2F4}"/>
            </a:ext>
          </a:extLst>
        </xdr:cNvPr>
        <xdr:cNvSpPr>
          <a:spLocks noChangeArrowheads="1"/>
        </xdr:cNvSpPr>
      </xdr:nvSpPr>
      <xdr:spPr bwMode="auto">
        <a:xfrm rot="10800000">
          <a:off x="2545079" y="15085695"/>
          <a:ext cx="4878705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98</xdr:row>
      <xdr:rowOff>38100</xdr:rowOff>
    </xdr:from>
    <xdr:to>
      <xdr:col>10</xdr:col>
      <xdr:colOff>266700</xdr:colOff>
      <xdr:row>98</xdr:row>
      <xdr:rowOff>165735</xdr:rowOff>
    </xdr:to>
    <xdr:grpSp>
      <xdr:nvGrpSpPr>
        <xdr:cNvPr id="34" name="Group 232">
          <a:extLst>
            <a:ext uri="{FF2B5EF4-FFF2-40B4-BE49-F238E27FC236}">
              <a16:creationId xmlns:a16="http://schemas.microsoft.com/office/drawing/2014/main" id="{07AC7C78-7CB1-4A41-A337-C0D0F9E38C44}"/>
            </a:ext>
          </a:extLst>
        </xdr:cNvPr>
        <xdr:cNvGrpSpPr>
          <a:grpSpLocks/>
        </xdr:cNvGrpSpPr>
      </xdr:nvGrpSpPr>
      <xdr:grpSpPr bwMode="auto">
        <a:xfrm>
          <a:off x="8246745" y="17602200"/>
          <a:ext cx="219075" cy="127635"/>
          <a:chOff x="304" y="241"/>
          <a:chExt cx="29" cy="29"/>
        </a:xfrm>
      </xdr:grpSpPr>
      <xdr:sp macro="" textlink="">
        <xdr:nvSpPr>
          <xdr:cNvPr id="35" name="Oval 233">
            <a:extLst>
              <a:ext uri="{FF2B5EF4-FFF2-40B4-BE49-F238E27FC236}">
                <a16:creationId xmlns:a16="http://schemas.microsoft.com/office/drawing/2014/main" id="{AE9F3F7D-C9BD-28D4-614A-395843CE4765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6" name="AutoShape 234">
            <a:extLst>
              <a:ext uri="{FF2B5EF4-FFF2-40B4-BE49-F238E27FC236}">
                <a16:creationId xmlns:a16="http://schemas.microsoft.com/office/drawing/2014/main" id="{CE29E173-A778-ADEA-D577-2160E60E21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</xdr:col>
      <xdr:colOff>114299</xdr:colOff>
      <xdr:row>97</xdr:row>
      <xdr:rowOff>198119</xdr:rowOff>
    </xdr:from>
    <xdr:to>
      <xdr:col>10</xdr:col>
      <xdr:colOff>9524</xdr:colOff>
      <xdr:row>99</xdr:row>
      <xdr:rowOff>47624</xdr:rowOff>
    </xdr:to>
    <xdr:sp macro="" textlink="">
      <xdr:nvSpPr>
        <xdr:cNvPr id="37" name="AutoShape 235">
          <a:extLst>
            <a:ext uri="{FF2B5EF4-FFF2-40B4-BE49-F238E27FC236}">
              <a16:creationId xmlns:a16="http://schemas.microsoft.com/office/drawing/2014/main" id="{63361673-5B95-4A06-9746-13EF050F9233}"/>
            </a:ext>
          </a:extLst>
        </xdr:cNvPr>
        <xdr:cNvSpPr>
          <a:spLocks noChangeArrowheads="1"/>
        </xdr:cNvSpPr>
      </xdr:nvSpPr>
      <xdr:spPr bwMode="auto">
        <a:xfrm>
          <a:off x="899159" y="17465039"/>
          <a:ext cx="6524625" cy="291465"/>
        </a:xfrm>
        <a:prstGeom prst="rightArrow">
          <a:avLst>
            <a:gd name="adj1" fmla="val 53187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47625</xdr:colOff>
      <xdr:row>60</xdr:row>
      <xdr:rowOff>38100</xdr:rowOff>
    </xdr:from>
    <xdr:to>
      <xdr:col>2</xdr:col>
      <xdr:colOff>266700</xdr:colOff>
      <xdr:row>60</xdr:row>
      <xdr:rowOff>165735</xdr:rowOff>
    </xdr:to>
    <xdr:grpSp>
      <xdr:nvGrpSpPr>
        <xdr:cNvPr id="42" name="Group 232">
          <a:extLst>
            <a:ext uri="{FF2B5EF4-FFF2-40B4-BE49-F238E27FC236}">
              <a16:creationId xmlns:a16="http://schemas.microsoft.com/office/drawing/2014/main" id="{C2FE0D25-8DB5-4555-ABBA-0CBC43BA39EC}"/>
            </a:ext>
          </a:extLst>
        </xdr:cNvPr>
        <xdr:cNvGrpSpPr>
          <a:grpSpLocks/>
        </xdr:cNvGrpSpPr>
      </xdr:nvGrpSpPr>
      <xdr:grpSpPr bwMode="auto">
        <a:xfrm>
          <a:off x="1617345" y="10629900"/>
          <a:ext cx="219075" cy="127635"/>
          <a:chOff x="304" y="241"/>
          <a:chExt cx="29" cy="29"/>
        </a:xfrm>
      </xdr:grpSpPr>
      <xdr:sp macro="" textlink="">
        <xdr:nvSpPr>
          <xdr:cNvPr id="43" name="Oval 233">
            <a:extLst>
              <a:ext uri="{FF2B5EF4-FFF2-40B4-BE49-F238E27FC236}">
                <a16:creationId xmlns:a16="http://schemas.microsoft.com/office/drawing/2014/main" id="{6D5B59FC-952E-CBD2-F2C2-4AD356F16D57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4" name="AutoShape 234">
            <a:extLst>
              <a:ext uri="{FF2B5EF4-FFF2-40B4-BE49-F238E27FC236}">
                <a16:creationId xmlns:a16="http://schemas.microsoft.com/office/drawing/2014/main" id="{EE49607A-5A8E-F250-8C23-7D7F8CBC16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</xdr:col>
      <xdr:colOff>45720</xdr:colOff>
      <xdr:row>59</xdr:row>
      <xdr:rowOff>36195</xdr:rowOff>
    </xdr:from>
    <xdr:to>
      <xdr:col>14</xdr:col>
      <xdr:colOff>761999</xdr:colOff>
      <xdr:row>60</xdr:row>
      <xdr:rowOff>169545</xdr:rowOff>
    </xdr:to>
    <xdr:sp macro="" textlink="">
      <xdr:nvSpPr>
        <xdr:cNvPr id="45" name="AutoShape 235">
          <a:extLst>
            <a:ext uri="{FF2B5EF4-FFF2-40B4-BE49-F238E27FC236}">
              <a16:creationId xmlns:a16="http://schemas.microsoft.com/office/drawing/2014/main" id="{414772C9-591A-4FFE-A811-50A44D04C926}"/>
            </a:ext>
          </a:extLst>
        </xdr:cNvPr>
        <xdr:cNvSpPr>
          <a:spLocks noChangeArrowheads="1"/>
        </xdr:cNvSpPr>
      </xdr:nvSpPr>
      <xdr:spPr bwMode="auto">
        <a:xfrm>
          <a:off x="3185160" y="10399395"/>
          <a:ext cx="8740139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60960</xdr:colOff>
      <xdr:row>66</xdr:row>
      <xdr:rowOff>38100</xdr:rowOff>
    </xdr:from>
    <xdr:to>
      <xdr:col>9</xdr:col>
      <xdr:colOff>769620</xdr:colOff>
      <xdr:row>68</xdr:row>
      <xdr:rowOff>0</xdr:rowOff>
    </xdr:to>
    <xdr:sp macro="" textlink="">
      <xdr:nvSpPr>
        <xdr:cNvPr id="47" name="AutoShape 33">
          <a:extLst>
            <a:ext uri="{FF2B5EF4-FFF2-40B4-BE49-F238E27FC236}">
              <a16:creationId xmlns:a16="http://schemas.microsoft.com/office/drawing/2014/main" id="{8C7E63DB-18AE-4249-9735-E9FE9C57EAFC}"/>
            </a:ext>
          </a:extLst>
        </xdr:cNvPr>
        <xdr:cNvSpPr>
          <a:spLocks noChangeArrowheads="1"/>
        </xdr:cNvSpPr>
      </xdr:nvSpPr>
      <xdr:spPr bwMode="auto">
        <a:xfrm rot="10800000">
          <a:off x="3200400" y="11818620"/>
          <a:ext cx="4983480" cy="29718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23</xdr:col>
      <xdr:colOff>0</xdr:colOff>
      <xdr:row>63</xdr:row>
      <xdr:rowOff>0</xdr:rowOff>
    </xdr:from>
    <xdr:to>
      <xdr:col>24</xdr:col>
      <xdr:colOff>28575</xdr:colOff>
      <xdr:row>65</xdr:row>
      <xdr:rowOff>87630</xdr:rowOff>
    </xdr:to>
    <xdr:grpSp>
      <xdr:nvGrpSpPr>
        <xdr:cNvPr id="48" name="Group 256">
          <a:extLst>
            <a:ext uri="{FF2B5EF4-FFF2-40B4-BE49-F238E27FC236}">
              <a16:creationId xmlns:a16="http://schemas.microsoft.com/office/drawing/2014/main" id="{D47B0478-CF84-41CC-BD3D-D376D16CB584}"/>
            </a:ext>
          </a:extLst>
        </xdr:cNvPr>
        <xdr:cNvGrpSpPr>
          <a:grpSpLocks/>
        </xdr:cNvGrpSpPr>
      </xdr:nvGrpSpPr>
      <xdr:grpSpPr bwMode="auto">
        <a:xfrm>
          <a:off x="18227040" y="11216640"/>
          <a:ext cx="813435" cy="483870"/>
          <a:chOff x="267" y="335"/>
          <a:chExt cx="150" cy="88"/>
        </a:xfrm>
      </xdr:grpSpPr>
      <xdr:sp macro="" textlink="">
        <xdr:nvSpPr>
          <xdr:cNvPr id="49" name="Rectangle 257">
            <a:extLst>
              <a:ext uri="{FF2B5EF4-FFF2-40B4-BE49-F238E27FC236}">
                <a16:creationId xmlns:a16="http://schemas.microsoft.com/office/drawing/2014/main" id="{29008A5D-EADD-4372-B46F-44B1A2380717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50" name="AutoShape 258">
            <a:extLst>
              <a:ext uri="{FF2B5EF4-FFF2-40B4-BE49-F238E27FC236}">
                <a16:creationId xmlns:a16="http://schemas.microsoft.com/office/drawing/2014/main" id="{E16E5AED-4195-54BC-B78B-E18C37E11A24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1" name="AutoShape 259">
            <a:extLst>
              <a:ext uri="{FF2B5EF4-FFF2-40B4-BE49-F238E27FC236}">
                <a16:creationId xmlns:a16="http://schemas.microsoft.com/office/drawing/2014/main" id="{A7D2DB44-F313-1E75-7384-5E075ECAD2D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2" name="AutoShape 260">
            <a:extLst>
              <a:ext uri="{FF2B5EF4-FFF2-40B4-BE49-F238E27FC236}">
                <a16:creationId xmlns:a16="http://schemas.microsoft.com/office/drawing/2014/main" id="{D0C976DE-9A3F-9487-9098-C5D8313E32F5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3" name="AutoShape 261">
            <a:extLst>
              <a:ext uri="{FF2B5EF4-FFF2-40B4-BE49-F238E27FC236}">
                <a16:creationId xmlns:a16="http://schemas.microsoft.com/office/drawing/2014/main" id="{F84BA55D-E308-0EA6-9824-26496192A1D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4" name="AutoShape 262">
            <a:extLst>
              <a:ext uri="{FF2B5EF4-FFF2-40B4-BE49-F238E27FC236}">
                <a16:creationId xmlns:a16="http://schemas.microsoft.com/office/drawing/2014/main" id="{CE9AA036-BC82-F6AB-F0BC-28A9CCD59664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5" name="AutoShape 263">
            <a:extLst>
              <a:ext uri="{FF2B5EF4-FFF2-40B4-BE49-F238E27FC236}">
                <a16:creationId xmlns:a16="http://schemas.microsoft.com/office/drawing/2014/main" id="{801E2EBE-42E2-4973-A932-8A9712C0D732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23</xdr:col>
      <xdr:colOff>0</xdr:colOff>
      <xdr:row>77</xdr:row>
      <xdr:rowOff>0</xdr:rowOff>
    </xdr:from>
    <xdr:to>
      <xdr:col>24</xdr:col>
      <xdr:colOff>28575</xdr:colOff>
      <xdr:row>79</xdr:row>
      <xdr:rowOff>148590</xdr:rowOff>
    </xdr:to>
    <xdr:grpSp>
      <xdr:nvGrpSpPr>
        <xdr:cNvPr id="56" name="Group 256">
          <a:extLst>
            <a:ext uri="{FF2B5EF4-FFF2-40B4-BE49-F238E27FC236}">
              <a16:creationId xmlns:a16="http://schemas.microsoft.com/office/drawing/2014/main" id="{930C2631-04A4-4F40-9DEA-CE791A901F1B}"/>
            </a:ext>
          </a:extLst>
        </xdr:cNvPr>
        <xdr:cNvGrpSpPr>
          <a:grpSpLocks/>
        </xdr:cNvGrpSpPr>
      </xdr:nvGrpSpPr>
      <xdr:grpSpPr bwMode="auto">
        <a:xfrm>
          <a:off x="18227040" y="13830300"/>
          <a:ext cx="813435" cy="483870"/>
          <a:chOff x="267" y="335"/>
          <a:chExt cx="150" cy="88"/>
        </a:xfrm>
      </xdr:grpSpPr>
      <xdr:sp macro="" textlink="">
        <xdr:nvSpPr>
          <xdr:cNvPr id="57" name="Rectangle 257">
            <a:extLst>
              <a:ext uri="{FF2B5EF4-FFF2-40B4-BE49-F238E27FC236}">
                <a16:creationId xmlns:a16="http://schemas.microsoft.com/office/drawing/2014/main" id="{FA8ABD1D-38AD-489C-D5A3-8010D32BCFF7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58" name="AutoShape 258">
            <a:extLst>
              <a:ext uri="{FF2B5EF4-FFF2-40B4-BE49-F238E27FC236}">
                <a16:creationId xmlns:a16="http://schemas.microsoft.com/office/drawing/2014/main" id="{F7E99820-D61A-8E0F-7E72-E7929A237B1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9" name="AutoShape 259">
            <a:extLst>
              <a:ext uri="{FF2B5EF4-FFF2-40B4-BE49-F238E27FC236}">
                <a16:creationId xmlns:a16="http://schemas.microsoft.com/office/drawing/2014/main" id="{51D77D3A-C3C2-E4D9-136B-9CF1D1C4DB8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0" name="AutoShape 260">
            <a:extLst>
              <a:ext uri="{FF2B5EF4-FFF2-40B4-BE49-F238E27FC236}">
                <a16:creationId xmlns:a16="http://schemas.microsoft.com/office/drawing/2014/main" id="{84AFE427-7C1E-683E-59A1-EBF872BF7D3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1" name="AutoShape 261">
            <a:extLst>
              <a:ext uri="{FF2B5EF4-FFF2-40B4-BE49-F238E27FC236}">
                <a16:creationId xmlns:a16="http://schemas.microsoft.com/office/drawing/2014/main" id="{3FE3EAB8-74B9-8A66-5186-82777C861817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2" name="AutoShape 262">
            <a:extLst>
              <a:ext uri="{FF2B5EF4-FFF2-40B4-BE49-F238E27FC236}">
                <a16:creationId xmlns:a16="http://schemas.microsoft.com/office/drawing/2014/main" id="{0D134F8A-CA4D-196C-718F-A6007D3B926C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3" name="AutoShape 263">
            <a:extLst>
              <a:ext uri="{FF2B5EF4-FFF2-40B4-BE49-F238E27FC236}">
                <a16:creationId xmlns:a16="http://schemas.microsoft.com/office/drawing/2014/main" id="{2B4455F3-FB10-CAF9-9975-7E28E5D41CD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23</xdr:col>
      <xdr:colOff>0</xdr:colOff>
      <xdr:row>90</xdr:row>
      <xdr:rowOff>0</xdr:rowOff>
    </xdr:from>
    <xdr:to>
      <xdr:col>24</xdr:col>
      <xdr:colOff>28575</xdr:colOff>
      <xdr:row>92</xdr:row>
      <xdr:rowOff>148590</xdr:rowOff>
    </xdr:to>
    <xdr:grpSp>
      <xdr:nvGrpSpPr>
        <xdr:cNvPr id="1352" name="Group 256">
          <a:extLst>
            <a:ext uri="{FF2B5EF4-FFF2-40B4-BE49-F238E27FC236}">
              <a16:creationId xmlns:a16="http://schemas.microsoft.com/office/drawing/2014/main" id="{7B191763-1325-41DF-A94E-D7EE2B43C68D}"/>
            </a:ext>
          </a:extLst>
        </xdr:cNvPr>
        <xdr:cNvGrpSpPr>
          <a:grpSpLocks/>
        </xdr:cNvGrpSpPr>
      </xdr:nvGrpSpPr>
      <xdr:grpSpPr bwMode="auto">
        <a:xfrm>
          <a:off x="18227040" y="16154400"/>
          <a:ext cx="813435" cy="483870"/>
          <a:chOff x="267" y="335"/>
          <a:chExt cx="150" cy="88"/>
        </a:xfrm>
      </xdr:grpSpPr>
      <xdr:sp macro="" textlink="">
        <xdr:nvSpPr>
          <xdr:cNvPr id="1353" name="Rectangle 257">
            <a:extLst>
              <a:ext uri="{FF2B5EF4-FFF2-40B4-BE49-F238E27FC236}">
                <a16:creationId xmlns:a16="http://schemas.microsoft.com/office/drawing/2014/main" id="{38D7CBDF-3DD2-7C8A-8A78-3E527D26C334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1354" name="AutoShape 258">
            <a:extLst>
              <a:ext uri="{FF2B5EF4-FFF2-40B4-BE49-F238E27FC236}">
                <a16:creationId xmlns:a16="http://schemas.microsoft.com/office/drawing/2014/main" id="{FC3C2040-6628-E693-EB9B-71A951985315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55" name="AutoShape 259">
            <a:extLst>
              <a:ext uri="{FF2B5EF4-FFF2-40B4-BE49-F238E27FC236}">
                <a16:creationId xmlns:a16="http://schemas.microsoft.com/office/drawing/2014/main" id="{4C2EF812-CB03-AE47-07D3-6F47F894B8EA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56" name="AutoShape 260">
            <a:extLst>
              <a:ext uri="{FF2B5EF4-FFF2-40B4-BE49-F238E27FC236}">
                <a16:creationId xmlns:a16="http://schemas.microsoft.com/office/drawing/2014/main" id="{ADCD0F8E-E951-98EE-29F9-DC967B409E35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57" name="AutoShape 261">
            <a:extLst>
              <a:ext uri="{FF2B5EF4-FFF2-40B4-BE49-F238E27FC236}">
                <a16:creationId xmlns:a16="http://schemas.microsoft.com/office/drawing/2014/main" id="{CD9BFDB3-CC81-4D2D-F443-BA0FFCE1793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58" name="AutoShape 262">
            <a:extLst>
              <a:ext uri="{FF2B5EF4-FFF2-40B4-BE49-F238E27FC236}">
                <a16:creationId xmlns:a16="http://schemas.microsoft.com/office/drawing/2014/main" id="{F435570C-C4A2-DB94-CC4F-DDC7739D530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59" name="AutoShape 263">
            <a:extLst>
              <a:ext uri="{FF2B5EF4-FFF2-40B4-BE49-F238E27FC236}">
                <a16:creationId xmlns:a16="http://schemas.microsoft.com/office/drawing/2014/main" id="{062AEE3E-6C96-333C-1439-8348EC5AB21B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0</xdr:colOff>
      <xdr:row>2</xdr:row>
      <xdr:rowOff>0</xdr:rowOff>
    </xdr:from>
    <xdr:to>
      <xdr:col>13</xdr:col>
      <xdr:colOff>152400</xdr:colOff>
      <xdr:row>3</xdr:row>
      <xdr:rowOff>83820</xdr:rowOff>
    </xdr:to>
    <xdr:grpSp>
      <xdr:nvGrpSpPr>
        <xdr:cNvPr id="1374" name="Group 3">
          <a:extLst>
            <a:ext uri="{FF2B5EF4-FFF2-40B4-BE49-F238E27FC236}">
              <a16:creationId xmlns:a16="http://schemas.microsoft.com/office/drawing/2014/main" id="{4C02DCCC-B6DD-4C3D-BE8D-4344B79CBA3B}"/>
            </a:ext>
          </a:extLst>
        </xdr:cNvPr>
        <xdr:cNvGrpSpPr>
          <a:grpSpLocks/>
        </xdr:cNvGrpSpPr>
      </xdr:nvGrpSpPr>
      <xdr:grpSpPr bwMode="auto">
        <a:xfrm>
          <a:off x="10378440" y="342900"/>
          <a:ext cx="152400" cy="251460"/>
          <a:chOff x="572" y="516"/>
          <a:chExt cx="44" cy="130"/>
        </a:xfrm>
      </xdr:grpSpPr>
      <xdr:cxnSp macro="">
        <xdr:nvCxnSpPr>
          <xdr:cNvPr id="1375" name="AutoShape 4">
            <a:extLst>
              <a:ext uri="{FF2B5EF4-FFF2-40B4-BE49-F238E27FC236}">
                <a16:creationId xmlns:a16="http://schemas.microsoft.com/office/drawing/2014/main" id="{50B54F6D-DC1B-01F3-719D-0726DF27AEE1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614" y="517"/>
            <a:ext cx="1" cy="129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376" name="AutoShape 5">
            <a:extLst>
              <a:ext uri="{FF2B5EF4-FFF2-40B4-BE49-F238E27FC236}">
                <a16:creationId xmlns:a16="http://schemas.microsoft.com/office/drawing/2014/main" id="{9D3CBD32-83F0-0F3B-F144-580D7FB53B91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377" name="AutoShape 6">
            <a:extLst>
              <a:ext uri="{FF2B5EF4-FFF2-40B4-BE49-F238E27FC236}">
                <a16:creationId xmlns:a16="http://schemas.microsoft.com/office/drawing/2014/main" id="{AD501894-4A46-DF5D-F67C-8783B24A67C4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378" name="AutoShape 7">
            <a:extLst>
              <a:ext uri="{FF2B5EF4-FFF2-40B4-BE49-F238E27FC236}">
                <a16:creationId xmlns:a16="http://schemas.microsoft.com/office/drawing/2014/main" id="{68B65092-D0DF-C670-0E89-CFE391B5603A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58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379" name="AutoShape 8">
            <a:extLst>
              <a:ext uri="{FF2B5EF4-FFF2-40B4-BE49-F238E27FC236}">
                <a16:creationId xmlns:a16="http://schemas.microsoft.com/office/drawing/2014/main" id="{633E6E7D-8C52-239D-1547-631E28FFFFAC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602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380" name="AutoShape 9">
            <a:extLst>
              <a:ext uri="{FF2B5EF4-FFF2-40B4-BE49-F238E27FC236}">
                <a16:creationId xmlns:a16="http://schemas.microsoft.com/office/drawing/2014/main" id="{9BB2CC33-9D96-333D-DDCA-B79D55131D18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3" y="644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8</xdr:col>
      <xdr:colOff>685800</xdr:colOff>
      <xdr:row>4</xdr:row>
      <xdr:rowOff>0</xdr:rowOff>
    </xdr:from>
    <xdr:to>
      <xdr:col>10</xdr:col>
      <xdr:colOff>0</xdr:colOff>
      <xdr:row>5</xdr:row>
      <xdr:rowOff>99060</xdr:rowOff>
    </xdr:to>
    <xdr:grpSp>
      <xdr:nvGrpSpPr>
        <xdr:cNvPr id="1287" name="Group 46">
          <a:extLst>
            <a:ext uri="{FF2B5EF4-FFF2-40B4-BE49-F238E27FC236}">
              <a16:creationId xmlns:a16="http://schemas.microsoft.com/office/drawing/2014/main" id="{E33CDA05-4609-45C9-919B-F681629F3740}"/>
            </a:ext>
          </a:extLst>
        </xdr:cNvPr>
        <xdr:cNvGrpSpPr>
          <a:grpSpLocks/>
        </xdr:cNvGrpSpPr>
      </xdr:nvGrpSpPr>
      <xdr:grpSpPr bwMode="auto">
        <a:xfrm flipH="1">
          <a:off x="7315200" y="678180"/>
          <a:ext cx="883920" cy="266700"/>
          <a:chOff x="216" y="418"/>
          <a:chExt cx="71" cy="51"/>
        </a:xfrm>
      </xdr:grpSpPr>
      <xdr:sp macro="" textlink="">
        <xdr:nvSpPr>
          <xdr:cNvPr id="1288" name="Rectangle 47">
            <a:extLst>
              <a:ext uri="{FF2B5EF4-FFF2-40B4-BE49-F238E27FC236}">
                <a16:creationId xmlns:a16="http://schemas.microsoft.com/office/drawing/2014/main" id="{A6ABDA0B-4EB3-1F5B-9A62-A3463A203F93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89" name="Rectangle 48">
            <a:extLst>
              <a:ext uri="{FF2B5EF4-FFF2-40B4-BE49-F238E27FC236}">
                <a16:creationId xmlns:a16="http://schemas.microsoft.com/office/drawing/2014/main" id="{78D4CBEC-6ED0-910A-5A6C-1BA36A7DC689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0" name="AutoShape 49">
            <a:extLst>
              <a:ext uri="{FF2B5EF4-FFF2-40B4-BE49-F238E27FC236}">
                <a16:creationId xmlns:a16="http://schemas.microsoft.com/office/drawing/2014/main" id="{FA250148-3D6D-CA27-6C0E-8D8C5CF93749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1" name="AutoShape 50">
            <a:extLst>
              <a:ext uri="{FF2B5EF4-FFF2-40B4-BE49-F238E27FC236}">
                <a16:creationId xmlns:a16="http://schemas.microsoft.com/office/drawing/2014/main" id="{B4C3864B-5373-8933-7E76-EC8BAC169925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2" name="AutoShape 51">
            <a:extLst>
              <a:ext uri="{FF2B5EF4-FFF2-40B4-BE49-F238E27FC236}">
                <a16:creationId xmlns:a16="http://schemas.microsoft.com/office/drawing/2014/main" id="{D071FB32-1A21-FABC-F18D-445EE8664D33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3" name="AutoShape 52">
            <a:extLst>
              <a:ext uri="{FF2B5EF4-FFF2-40B4-BE49-F238E27FC236}">
                <a16:creationId xmlns:a16="http://schemas.microsoft.com/office/drawing/2014/main" id="{B1968CB8-5A0D-AB42-3005-F4879DA2D594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4" name="AutoShape 53">
            <a:extLst>
              <a:ext uri="{FF2B5EF4-FFF2-40B4-BE49-F238E27FC236}">
                <a16:creationId xmlns:a16="http://schemas.microsoft.com/office/drawing/2014/main" id="{F4771454-E58B-8E14-D03E-9EFC4BC22C4C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333375</xdr:colOff>
      <xdr:row>5</xdr:row>
      <xdr:rowOff>34290</xdr:rowOff>
    </xdr:to>
    <xdr:grpSp>
      <xdr:nvGrpSpPr>
        <xdr:cNvPr id="1295" name="Group 39">
          <a:extLst>
            <a:ext uri="{FF2B5EF4-FFF2-40B4-BE49-F238E27FC236}">
              <a16:creationId xmlns:a16="http://schemas.microsoft.com/office/drawing/2014/main" id="{C2AE56BB-DB4D-48EE-B669-EB6276DEBBE2}"/>
            </a:ext>
          </a:extLst>
        </xdr:cNvPr>
        <xdr:cNvGrpSpPr>
          <a:grpSpLocks/>
        </xdr:cNvGrpSpPr>
      </xdr:nvGrpSpPr>
      <xdr:grpSpPr bwMode="auto">
        <a:xfrm>
          <a:off x="10378440" y="678180"/>
          <a:ext cx="333375" cy="201930"/>
          <a:chOff x="320" y="533"/>
          <a:chExt cx="52" cy="52"/>
        </a:xfrm>
      </xdr:grpSpPr>
      <xdr:sp macro="" textlink="">
        <xdr:nvSpPr>
          <xdr:cNvPr id="1296" name="Rectangle 40">
            <a:extLst>
              <a:ext uri="{FF2B5EF4-FFF2-40B4-BE49-F238E27FC236}">
                <a16:creationId xmlns:a16="http://schemas.microsoft.com/office/drawing/2014/main" id="{5D3C98C1-5339-F4CF-9D06-0050408E93CC}"/>
              </a:ext>
            </a:extLst>
          </xdr:cNvPr>
          <xdr:cNvSpPr>
            <a:spLocks noChangeArrowheads="1"/>
          </xdr:cNvSpPr>
        </xdr:nvSpPr>
        <xdr:spPr bwMode="auto">
          <a:xfrm>
            <a:off x="320" y="568"/>
            <a:ext cx="52" cy="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7" name="Rectangle 41">
            <a:extLst>
              <a:ext uri="{FF2B5EF4-FFF2-40B4-BE49-F238E27FC236}">
                <a16:creationId xmlns:a16="http://schemas.microsoft.com/office/drawing/2014/main" id="{B6B39D45-B15E-D547-4FB7-0D6CFDF0E59F}"/>
              </a:ext>
            </a:extLst>
          </xdr:cNvPr>
          <xdr:cNvSpPr>
            <a:spLocks noChangeArrowheads="1"/>
          </xdr:cNvSpPr>
        </xdr:nvSpPr>
        <xdr:spPr bwMode="auto">
          <a:xfrm>
            <a:off x="320" y="533"/>
            <a:ext cx="8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8" name="AutoShape 42">
            <a:extLst>
              <a:ext uri="{FF2B5EF4-FFF2-40B4-BE49-F238E27FC236}">
                <a16:creationId xmlns:a16="http://schemas.microsoft.com/office/drawing/2014/main" id="{01547913-6E10-7F33-52C8-16412BBD7B49}"/>
              </a:ext>
            </a:extLst>
          </xdr:cNvPr>
          <xdr:cNvSpPr>
            <a:spLocks noChangeArrowheads="1"/>
          </xdr:cNvSpPr>
        </xdr:nvSpPr>
        <xdr:spPr bwMode="auto">
          <a:xfrm>
            <a:off x="324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9" name="AutoShape 43">
            <a:extLst>
              <a:ext uri="{FF2B5EF4-FFF2-40B4-BE49-F238E27FC236}">
                <a16:creationId xmlns:a16="http://schemas.microsoft.com/office/drawing/2014/main" id="{48045DE6-9C0E-A489-02D9-122B57E1BB62}"/>
              </a:ext>
            </a:extLst>
          </xdr:cNvPr>
          <xdr:cNvSpPr>
            <a:spLocks noChangeArrowheads="1"/>
          </xdr:cNvSpPr>
        </xdr:nvSpPr>
        <xdr:spPr bwMode="auto">
          <a:xfrm>
            <a:off x="350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0" name="AutoShape 44">
            <a:extLst>
              <a:ext uri="{FF2B5EF4-FFF2-40B4-BE49-F238E27FC236}">
                <a16:creationId xmlns:a16="http://schemas.microsoft.com/office/drawing/2014/main" id="{AF9CCB22-4A04-97F8-4B8A-3FBE3A0F7528}"/>
              </a:ext>
            </a:extLst>
          </xdr:cNvPr>
          <xdr:cNvSpPr>
            <a:spLocks noChangeArrowheads="1"/>
          </xdr:cNvSpPr>
        </xdr:nvSpPr>
        <xdr:spPr bwMode="auto">
          <a:xfrm>
            <a:off x="333" y="559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1" name="AutoShape 45">
            <a:extLst>
              <a:ext uri="{FF2B5EF4-FFF2-40B4-BE49-F238E27FC236}">
                <a16:creationId xmlns:a16="http://schemas.microsoft.com/office/drawing/2014/main" id="{F11BD10A-7200-C007-425C-B2D32FD153BA}"/>
              </a:ext>
            </a:extLst>
          </xdr:cNvPr>
          <xdr:cNvSpPr>
            <a:spLocks noChangeArrowheads="1"/>
          </xdr:cNvSpPr>
        </xdr:nvSpPr>
        <xdr:spPr bwMode="auto">
          <a:xfrm>
            <a:off x="333" y="552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0</xdr:colOff>
      <xdr:row>19</xdr:row>
      <xdr:rowOff>0</xdr:rowOff>
    </xdr:from>
    <xdr:to>
      <xdr:col>5</xdr:col>
      <xdr:colOff>99060</xdr:colOff>
      <xdr:row>20</xdr:row>
      <xdr:rowOff>99060</xdr:rowOff>
    </xdr:to>
    <xdr:grpSp>
      <xdr:nvGrpSpPr>
        <xdr:cNvPr id="1302" name="Group 46">
          <a:extLst>
            <a:ext uri="{FF2B5EF4-FFF2-40B4-BE49-F238E27FC236}">
              <a16:creationId xmlns:a16="http://schemas.microsoft.com/office/drawing/2014/main" id="{2C551B52-D3AC-4FE6-A994-4CFE3F777272}"/>
            </a:ext>
          </a:extLst>
        </xdr:cNvPr>
        <xdr:cNvGrpSpPr>
          <a:grpSpLocks/>
        </xdr:cNvGrpSpPr>
      </xdr:nvGrpSpPr>
      <xdr:grpSpPr bwMode="auto">
        <a:xfrm flipH="1">
          <a:off x="2354580" y="3215640"/>
          <a:ext cx="1668780" cy="266700"/>
          <a:chOff x="216" y="418"/>
          <a:chExt cx="71" cy="51"/>
        </a:xfrm>
      </xdr:grpSpPr>
      <xdr:sp macro="" textlink="">
        <xdr:nvSpPr>
          <xdr:cNvPr id="1303" name="Rectangle 47">
            <a:extLst>
              <a:ext uri="{FF2B5EF4-FFF2-40B4-BE49-F238E27FC236}">
                <a16:creationId xmlns:a16="http://schemas.microsoft.com/office/drawing/2014/main" id="{5F13E3CD-0000-4E59-CD58-5C7821E18408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4" name="Rectangle 48">
            <a:extLst>
              <a:ext uri="{FF2B5EF4-FFF2-40B4-BE49-F238E27FC236}">
                <a16:creationId xmlns:a16="http://schemas.microsoft.com/office/drawing/2014/main" id="{F0295DDC-4273-7B4E-0073-1659295EFF87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5" name="AutoShape 49">
            <a:extLst>
              <a:ext uri="{FF2B5EF4-FFF2-40B4-BE49-F238E27FC236}">
                <a16:creationId xmlns:a16="http://schemas.microsoft.com/office/drawing/2014/main" id="{0BC85F2F-918F-3C8F-48AC-2842DCF82527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6" name="AutoShape 50">
            <a:extLst>
              <a:ext uri="{FF2B5EF4-FFF2-40B4-BE49-F238E27FC236}">
                <a16:creationId xmlns:a16="http://schemas.microsoft.com/office/drawing/2014/main" id="{7CDFFF92-2AD3-30A6-F3AF-78E3368AA39F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7" name="AutoShape 51">
            <a:extLst>
              <a:ext uri="{FF2B5EF4-FFF2-40B4-BE49-F238E27FC236}">
                <a16:creationId xmlns:a16="http://schemas.microsoft.com/office/drawing/2014/main" id="{99D1E56D-2783-A7D0-CAD1-44A3CD3BD9DE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8" name="AutoShape 52">
            <a:extLst>
              <a:ext uri="{FF2B5EF4-FFF2-40B4-BE49-F238E27FC236}">
                <a16:creationId xmlns:a16="http://schemas.microsoft.com/office/drawing/2014/main" id="{3071C984-EDBF-94E4-0141-7B4EA85311F2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9" name="AutoShape 53">
            <a:extLst>
              <a:ext uri="{FF2B5EF4-FFF2-40B4-BE49-F238E27FC236}">
                <a16:creationId xmlns:a16="http://schemas.microsoft.com/office/drawing/2014/main" id="{D50D73E4-8F1B-9F64-E9EB-CEA055F7C6A1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14</xdr:col>
      <xdr:colOff>114300</xdr:colOff>
      <xdr:row>4</xdr:row>
      <xdr:rowOff>60960</xdr:rowOff>
    </xdr:from>
    <xdr:to>
      <xdr:col>14</xdr:col>
      <xdr:colOff>476250</xdr:colOff>
      <xdr:row>5</xdr:row>
      <xdr:rowOff>102870</xdr:rowOff>
    </xdr:to>
    <xdr:grpSp>
      <xdr:nvGrpSpPr>
        <xdr:cNvPr id="1322" name="Group 60">
          <a:extLst>
            <a:ext uri="{FF2B5EF4-FFF2-40B4-BE49-F238E27FC236}">
              <a16:creationId xmlns:a16="http://schemas.microsoft.com/office/drawing/2014/main" id="{8FA8912C-4AAA-4070-A000-B5BC896DC25F}"/>
            </a:ext>
          </a:extLst>
        </xdr:cNvPr>
        <xdr:cNvGrpSpPr>
          <a:grpSpLocks/>
        </xdr:cNvGrpSpPr>
      </xdr:nvGrpSpPr>
      <xdr:grpSpPr bwMode="auto">
        <a:xfrm>
          <a:off x="11277600" y="739140"/>
          <a:ext cx="361950" cy="209550"/>
          <a:chOff x="1860" y="222"/>
          <a:chExt cx="159" cy="139"/>
        </a:xfrm>
      </xdr:grpSpPr>
      <xdr:sp macro="" textlink="">
        <xdr:nvSpPr>
          <xdr:cNvPr id="1323" name="AutoShape 61">
            <a:extLst>
              <a:ext uri="{FF2B5EF4-FFF2-40B4-BE49-F238E27FC236}">
                <a16:creationId xmlns:a16="http://schemas.microsoft.com/office/drawing/2014/main" id="{831AF6CC-B6BB-E2CE-07DA-5C04C05DE56A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24" name="Line 62">
            <a:extLst>
              <a:ext uri="{FF2B5EF4-FFF2-40B4-BE49-F238E27FC236}">
                <a16:creationId xmlns:a16="http://schemas.microsoft.com/office/drawing/2014/main" id="{84BD6A71-7892-25FE-8E19-63DDD5D37BFE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25" name="Line 63">
            <a:extLst>
              <a:ext uri="{FF2B5EF4-FFF2-40B4-BE49-F238E27FC236}">
                <a16:creationId xmlns:a16="http://schemas.microsoft.com/office/drawing/2014/main" id="{6CBAB6F6-7540-2A8D-3EFA-F86C6BB66322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26" name="Line 64">
            <a:extLst>
              <a:ext uri="{FF2B5EF4-FFF2-40B4-BE49-F238E27FC236}">
                <a16:creationId xmlns:a16="http://schemas.microsoft.com/office/drawing/2014/main" id="{5128BC94-6D52-66F7-592D-3C080391CBC2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14</xdr:col>
      <xdr:colOff>411480</xdr:colOff>
      <xdr:row>59</xdr:row>
      <xdr:rowOff>100966</xdr:rowOff>
    </xdr:from>
    <xdr:to>
      <xdr:col>15</xdr:col>
      <xdr:colOff>62865</xdr:colOff>
      <xdr:row>63</xdr:row>
      <xdr:rowOff>40006</xdr:rowOff>
    </xdr:to>
    <xdr:sp macro="" textlink="">
      <xdr:nvSpPr>
        <xdr:cNvPr id="1328" name="AutoShape 236">
          <a:extLst>
            <a:ext uri="{FF2B5EF4-FFF2-40B4-BE49-F238E27FC236}">
              <a16:creationId xmlns:a16="http://schemas.microsoft.com/office/drawing/2014/main" id="{828C8FB1-BB3B-4A0E-88D6-05CA66C9FD67}"/>
            </a:ext>
          </a:extLst>
        </xdr:cNvPr>
        <xdr:cNvSpPr>
          <a:spLocks noChangeArrowheads="1"/>
        </xdr:cNvSpPr>
      </xdr:nvSpPr>
      <xdr:spPr bwMode="auto">
        <a:xfrm rot="5400000">
          <a:off x="10615613" y="10638473"/>
          <a:ext cx="784860" cy="43624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148006</xdr:colOff>
      <xdr:row>69</xdr:row>
      <xdr:rowOff>38100</xdr:rowOff>
    </xdr:from>
    <xdr:to>
      <xdr:col>3</xdr:col>
      <xdr:colOff>535400</xdr:colOff>
      <xdr:row>85</xdr:row>
      <xdr:rowOff>167582</xdr:rowOff>
    </xdr:to>
    <xdr:sp macro="" textlink="">
      <xdr:nvSpPr>
        <xdr:cNvPr id="1330" name="AutoShape 235">
          <a:extLst>
            <a:ext uri="{FF2B5EF4-FFF2-40B4-BE49-F238E27FC236}">
              <a16:creationId xmlns:a16="http://schemas.microsoft.com/office/drawing/2014/main" id="{E16AE884-9B9A-47B1-AED9-903643A1AEF1}"/>
            </a:ext>
          </a:extLst>
        </xdr:cNvPr>
        <xdr:cNvSpPr>
          <a:spLocks noChangeArrowheads="1"/>
        </xdr:cNvSpPr>
      </xdr:nvSpPr>
      <xdr:spPr bwMode="auto">
        <a:xfrm rot="16200000">
          <a:off x="1187552" y="13636574"/>
          <a:ext cx="3017462" cy="387394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69</xdr:row>
      <xdr:rowOff>15240</xdr:rowOff>
    </xdr:from>
    <xdr:to>
      <xdr:col>2</xdr:col>
      <xdr:colOff>342900</xdr:colOff>
      <xdr:row>94</xdr:row>
      <xdr:rowOff>160020</xdr:rowOff>
    </xdr:to>
    <xdr:sp macro="" textlink="">
      <xdr:nvSpPr>
        <xdr:cNvPr id="1332" name="AutoShape 235">
          <a:extLst>
            <a:ext uri="{FF2B5EF4-FFF2-40B4-BE49-F238E27FC236}">
              <a16:creationId xmlns:a16="http://schemas.microsoft.com/office/drawing/2014/main" id="{D10D817A-2B9B-4AC1-9CE4-E52921778101}"/>
            </a:ext>
          </a:extLst>
        </xdr:cNvPr>
        <xdr:cNvSpPr>
          <a:spLocks noChangeArrowheads="1"/>
        </xdr:cNvSpPr>
      </xdr:nvSpPr>
      <xdr:spPr bwMode="auto">
        <a:xfrm rot="5400000">
          <a:off x="-567690" y="14436090"/>
          <a:ext cx="4617720" cy="34290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91440</xdr:colOff>
      <xdr:row>94</xdr:row>
      <xdr:rowOff>65383</xdr:rowOff>
    </xdr:from>
    <xdr:to>
      <xdr:col>18</xdr:col>
      <xdr:colOff>495300</xdr:colOff>
      <xdr:row>96</xdr:row>
      <xdr:rowOff>117497</xdr:rowOff>
    </xdr:to>
    <xdr:sp macro="" textlink="">
      <xdr:nvSpPr>
        <xdr:cNvPr id="1334" name="AutoShape 235">
          <a:extLst>
            <a:ext uri="{FF2B5EF4-FFF2-40B4-BE49-F238E27FC236}">
              <a16:creationId xmlns:a16="http://schemas.microsoft.com/office/drawing/2014/main" id="{8CAE3D85-3281-4F10-8615-5E4EC5D72CE3}"/>
            </a:ext>
          </a:extLst>
        </xdr:cNvPr>
        <xdr:cNvSpPr>
          <a:spLocks noChangeArrowheads="1"/>
        </xdr:cNvSpPr>
      </xdr:nvSpPr>
      <xdr:spPr bwMode="auto">
        <a:xfrm>
          <a:off x="1661160" y="16821763"/>
          <a:ext cx="12352020" cy="387394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121920</xdr:colOff>
      <xdr:row>84</xdr:row>
      <xdr:rowOff>22860</xdr:rowOff>
    </xdr:from>
    <xdr:to>
      <xdr:col>18</xdr:col>
      <xdr:colOff>509314</xdr:colOff>
      <xdr:row>96</xdr:row>
      <xdr:rowOff>53340</xdr:rowOff>
    </xdr:to>
    <xdr:sp macro="" textlink="">
      <xdr:nvSpPr>
        <xdr:cNvPr id="1335" name="AutoShape 235">
          <a:extLst>
            <a:ext uri="{FF2B5EF4-FFF2-40B4-BE49-F238E27FC236}">
              <a16:creationId xmlns:a16="http://schemas.microsoft.com/office/drawing/2014/main" id="{D2C81CBC-BF3A-4924-8DDE-D4D0BA521F08}"/>
            </a:ext>
          </a:extLst>
        </xdr:cNvPr>
        <xdr:cNvSpPr>
          <a:spLocks noChangeArrowheads="1"/>
        </xdr:cNvSpPr>
      </xdr:nvSpPr>
      <xdr:spPr bwMode="auto">
        <a:xfrm rot="16200000">
          <a:off x="12743837" y="15861643"/>
          <a:ext cx="2179320" cy="387394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30480</xdr:colOff>
      <xdr:row>87</xdr:row>
      <xdr:rowOff>160020</xdr:rowOff>
    </xdr:from>
    <xdr:to>
      <xdr:col>20</xdr:col>
      <xdr:colOff>7620</xdr:colOff>
      <xdr:row>90</xdr:row>
      <xdr:rowOff>3810</xdr:rowOff>
    </xdr:to>
    <xdr:sp macro="" textlink="">
      <xdr:nvSpPr>
        <xdr:cNvPr id="1408" name="AutoShape 235">
          <a:extLst>
            <a:ext uri="{FF2B5EF4-FFF2-40B4-BE49-F238E27FC236}">
              <a16:creationId xmlns:a16="http://schemas.microsoft.com/office/drawing/2014/main" id="{805688F1-1F4F-404D-BC28-B76DB9E5B333}"/>
            </a:ext>
          </a:extLst>
        </xdr:cNvPr>
        <xdr:cNvSpPr>
          <a:spLocks noChangeArrowheads="1"/>
        </xdr:cNvSpPr>
      </xdr:nvSpPr>
      <xdr:spPr bwMode="auto">
        <a:xfrm>
          <a:off x="13548360" y="15727680"/>
          <a:ext cx="1546860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98</xdr:row>
      <xdr:rowOff>0</xdr:rowOff>
    </xdr:from>
    <xdr:to>
      <xdr:col>13</xdr:col>
      <xdr:colOff>0</xdr:colOff>
      <xdr:row>99</xdr:row>
      <xdr:rowOff>125730</xdr:rowOff>
    </xdr:to>
    <xdr:sp macro="" textlink="">
      <xdr:nvSpPr>
        <xdr:cNvPr id="1409" name="AutoShape 235">
          <a:extLst>
            <a:ext uri="{FF2B5EF4-FFF2-40B4-BE49-F238E27FC236}">
              <a16:creationId xmlns:a16="http://schemas.microsoft.com/office/drawing/2014/main" id="{6C5461C2-6F8E-4585-908E-3E57D3CEDB5E}"/>
            </a:ext>
          </a:extLst>
        </xdr:cNvPr>
        <xdr:cNvSpPr>
          <a:spLocks noChangeArrowheads="1"/>
        </xdr:cNvSpPr>
      </xdr:nvSpPr>
      <xdr:spPr bwMode="auto">
        <a:xfrm>
          <a:off x="8808720" y="17487900"/>
          <a:ext cx="7848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455295</xdr:colOff>
      <xdr:row>80</xdr:row>
      <xdr:rowOff>106680</xdr:rowOff>
    </xdr:from>
    <xdr:to>
      <xdr:col>13</xdr:col>
      <xdr:colOff>17145</xdr:colOff>
      <xdr:row>99</xdr:row>
      <xdr:rowOff>17145</xdr:rowOff>
    </xdr:to>
    <xdr:sp macro="" textlink="">
      <xdr:nvSpPr>
        <xdr:cNvPr id="1410" name="AutoShape 235">
          <a:extLst>
            <a:ext uri="{FF2B5EF4-FFF2-40B4-BE49-F238E27FC236}">
              <a16:creationId xmlns:a16="http://schemas.microsoft.com/office/drawing/2014/main" id="{CBBA8491-314B-44F0-B6E6-4A756CA364B0}"/>
            </a:ext>
          </a:extLst>
        </xdr:cNvPr>
        <xdr:cNvSpPr>
          <a:spLocks noChangeArrowheads="1"/>
        </xdr:cNvSpPr>
      </xdr:nvSpPr>
      <xdr:spPr bwMode="auto">
        <a:xfrm rot="16200000">
          <a:off x="7756207" y="15871508"/>
          <a:ext cx="336232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594360</xdr:colOff>
      <xdr:row>80</xdr:row>
      <xdr:rowOff>60960</xdr:rowOff>
    </xdr:from>
    <xdr:to>
      <xdr:col>13</xdr:col>
      <xdr:colOff>754380</xdr:colOff>
      <xdr:row>82</xdr:row>
      <xdr:rowOff>72390</xdr:rowOff>
    </xdr:to>
    <xdr:sp macro="" textlink="">
      <xdr:nvSpPr>
        <xdr:cNvPr id="1412" name="AutoShape 235">
          <a:extLst>
            <a:ext uri="{FF2B5EF4-FFF2-40B4-BE49-F238E27FC236}">
              <a16:creationId xmlns:a16="http://schemas.microsoft.com/office/drawing/2014/main" id="{5C4494C0-9415-4307-BC2B-7E7CB6F26581}"/>
            </a:ext>
          </a:extLst>
        </xdr:cNvPr>
        <xdr:cNvSpPr>
          <a:spLocks noChangeArrowheads="1"/>
        </xdr:cNvSpPr>
      </xdr:nvSpPr>
      <xdr:spPr bwMode="auto">
        <a:xfrm>
          <a:off x="9403080" y="14317980"/>
          <a:ext cx="94488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88</xdr:row>
      <xdr:rowOff>0</xdr:rowOff>
    </xdr:from>
    <xdr:to>
      <xdr:col>13</xdr:col>
      <xdr:colOff>0</xdr:colOff>
      <xdr:row>90</xdr:row>
      <xdr:rowOff>3810</xdr:rowOff>
    </xdr:to>
    <xdr:sp macro="" textlink="">
      <xdr:nvSpPr>
        <xdr:cNvPr id="1413" name="AutoShape 235">
          <a:extLst>
            <a:ext uri="{FF2B5EF4-FFF2-40B4-BE49-F238E27FC236}">
              <a16:creationId xmlns:a16="http://schemas.microsoft.com/office/drawing/2014/main" id="{73FBFC8C-0D68-4B1C-B35E-9C07C10FBC6B}"/>
            </a:ext>
          </a:extLst>
        </xdr:cNvPr>
        <xdr:cNvSpPr>
          <a:spLocks noChangeArrowheads="1"/>
        </xdr:cNvSpPr>
      </xdr:nvSpPr>
      <xdr:spPr bwMode="auto">
        <a:xfrm>
          <a:off x="8808720" y="15735300"/>
          <a:ext cx="7848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75</xdr:row>
      <xdr:rowOff>0</xdr:rowOff>
    </xdr:from>
    <xdr:to>
      <xdr:col>13</xdr:col>
      <xdr:colOff>746760</xdr:colOff>
      <xdr:row>77</xdr:row>
      <xdr:rowOff>3810</xdr:rowOff>
    </xdr:to>
    <xdr:sp macro="" textlink="">
      <xdr:nvSpPr>
        <xdr:cNvPr id="1415" name="AutoShape 235">
          <a:extLst>
            <a:ext uri="{FF2B5EF4-FFF2-40B4-BE49-F238E27FC236}">
              <a16:creationId xmlns:a16="http://schemas.microsoft.com/office/drawing/2014/main" id="{8B757445-EEE1-4AC9-9E50-8B55F9754474}"/>
            </a:ext>
          </a:extLst>
        </xdr:cNvPr>
        <xdr:cNvSpPr>
          <a:spLocks noChangeArrowheads="1"/>
        </xdr:cNvSpPr>
      </xdr:nvSpPr>
      <xdr:spPr bwMode="auto">
        <a:xfrm>
          <a:off x="8808720" y="13411200"/>
          <a:ext cx="153162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62</xdr:row>
      <xdr:rowOff>0</xdr:rowOff>
    </xdr:from>
    <xdr:to>
      <xdr:col>18</xdr:col>
      <xdr:colOff>502920</xdr:colOff>
      <xdr:row>63</xdr:row>
      <xdr:rowOff>118110</xdr:rowOff>
    </xdr:to>
    <xdr:sp macro="" textlink="">
      <xdr:nvSpPr>
        <xdr:cNvPr id="1417" name="AutoShape 235">
          <a:extLst>
            <a:ext uri="{FF2B5EF4-FFF2-40B4-BE49-F238E27FC236}">
              <a16:creationId xmlns:a16="http://schemas.microsoft.com/office/drawing/2014/main" id="{CE38D244-0125-4678-9084-25903046832F}"/>
            </a:ext>
          </a:extLst>
        </xdr:cNvPr>
        <xdr:cNvSpPr>
          <a:spLocks noChangeArrowheads="1"/>
        </xdr:cNvSpPr>
      </xdr:nvSpPr>
      <xdr:spPr bwMode="auto">
        <a:xfrm>
          <a:off x="8808720" y="10980420"/>
          <a:ext cx="521208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38</xdr:row>
      <xdr:rowOff>0</xdr:rowOff>
    </xdr:from>
    <xdr:to>
      <xdr:col>16</xdr:col>
      <xdr:colOff>723900</xdr:colOff>
      <xdr:row>40</xdr:row>
      <xdr:rowOff>11430</xdr:rowOff>
    </xdr:to>
    <xdr:sp macro="" textlink="">
      <xdr:nvSpPr>
        <xdr:cNvPr id="1419" name="AutoShape 235">
          <a:extLst>
            <a:ext uri="{FF2B5EF4-FFF2-40B4-BE49-F238E27FC236}">
              <a16:creationId xmlns:a16="http://schemas.microsoft.com/office/drawing/2014/main" id="{76A4661E-9CF0-43D1-802F-D42F0A88C9CF}"/>
            </a:ext>
          </a:extLst>
        </xdr:cNvPr>
        <xdr:cNvSpPr>
          <a:spLocks noChangeArrowheads="1"/>
        </xdr:cNvSpPr>
      </xdr:nvSpPr>
      <xdr:spPr bwMode="auto">
        <a:xfrm>
          <a:off x="8808720" y="6690360"/>
          <a:ext cx="386334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501015</xdr:colOff>
      <xdr:row>38</xdr:row>
      <xdr:rowOff>139064</xdr:rowOff>
    </xdr:from>
    <xdr:to>
      <xdr:col>17</xdr:col>
      <xdr:colOff>62865</xdr:colOff>
      <xdr:row>62</xdr:row>
      <xdr:rowOff>106679</xdr:rowOff>
    </xdr:to>
    <xdr:sp macro="" textlink="">
      <xdr:nvSpPr>
        <xdr:cNvPr id="1420" name="AutoShape 235">
          <a:extLst>
            <a:ext uri="{FF2B5EF4-FFF2-40B4-BE49-F238E27FC236}">
              <a16:creationId xmlns:a16="http://schemas.microsoft.com/office/drawing/2014/main" id="{B14417DA-25B6-4E6A-9A9C-1640AFCF2B05}"/>
            </a:ext>
          </a:extLst>
        </xdr:cNvPr>
        <xdr:cNvSpPr>
          <a:spLocks noChangeArrowheads="1"/>
        </xdr:cNvSpPr>
      </xdr:nvSpPr>
      <xdr:spPr bwMode="auto">
        <a:xfrm rot="5400000">
          <a:off x="10493692" y="8784907"/>
          <a:ext cx="425767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912495</xdr:colOff>
      <xdr:row>21</xdr:row>
      <xdr:rowOff>7621</xdr:rowOff>
    </xdr:from>
    <xdr:to>
      <xdr:col>8</xdr:col>
      <xdr:colOff>123825</xdr:colOff>
      <xdr:row>36</xdr:row>
      <xdr:rowOff>123826</xdr:rowOff>
    </xdr:to>
    <xdr:sp macro="" textlink="">
      <xdr:nvSpPr>
        <xdr:cNvPr id="1427" name="AutoShape 235">
          <a:extLst>
            <a:ext uri="{FF2B5EF4-FFF2-40B4-BE49-F238E27FC236}">
              <a16:creationId xmlns:a16="http://schemas.microsoft.com/office/drawing/2014/main" id="{C23ED905-914E-4F05-B283-416C5888D171}"/>
            </a:ext>
          </a:extLst>
        </xdr:cNvPr>
        <xdr:cNvSpPr>
          <a:spLocks noChangeArrowheads="1"/>
        </xdr:cNvSpPr>
      </xdr:nvSpPr>
      <xdr:spPr bwMode="auto">
        <a:xfrm rot="5400000">
          <a:off x="4365307" y="4814889"/>
          <a:ext cx="285940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243840</xdr:colOff>
      <xdr:row>21</xdr:row>
      <xdr:rowOff>15240</xdr:rowOff>
    </xdr:from>
    <xdr:to>
      <xdr:col>6</xdr:col>
      <xdr:colOff>590550</xdr:colOff>
      <xdr:row>63</xdr:row>
      <xdr:rowOff>114300</xdr:rowOff>
    </xdr:to>
    <xdr:sp macro="" textlink="">
      <xdr:nvSpPr>
        <xdr:cNvPr id="1429" name="AutoShape 235">
          <a:extLst>
            <a:ext uri="{FF2B5EF4-FFF2-40B4-BE49-F238E27FC236}">
              <a16:creationId xmlns:a16="http://schemas.microsoft.com/office/drawing/2014/main" id="{DCDF8177-73C0-40B0-91A6-BBDEFA0CA03D}"/>
            </a:ext>
          </a:extLst>
        </xdr:cNvPr>
        <xdr:cNvSpPr>
          <a:spLocks noChangeArrowheads="1"/>
        </xdr:cNvSpPr>
      </xdr:nvSpPr>
      <xdr:spPr bwMode="auto">
        <a:xfrm rot="5400000">
          <a:off x="462915" y="7271385"/>
          <a:ext cx="77571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601980</xdr:colOff>
      <xdr:row>21</xdr:row>
      <xdr:rowOff>45720</xdr:rowOff>
    </xdr:from>
    <xdr:to>
      <xdr:col>6</xdr:col>
      <xdr:colOff>163830</xdr:colOff>
      <xdr:row>74</xdr:row>
      <xdr:rowOff>205740</xdr:rowOff>
    </xdr:to>
    <xdr:sp macro="" textlink="">
      <xdr:nvSpPr>
        <xdr:cNvPr id="1431" name="AutoShape 235">
          <a:extLst>
            <a:ext uri="{FF2B5EF4-FFF2-40B4-BE49-F238E27FC236}">
              <a16:creationId xmlns:a16="http://schemas.microsoft.com/office/drawing/2014/main" id="{140BAC33-EAA1-4E8D-A35C-51692D264746}"/>
            </a:ext>
          </a:extLst>
        </xdr:cNvPr>
        <xdr:cNvSpPr>
          <a:spLocks noChangeArrowheads="1"/>
        </xdr:cNvSpPr>
      </xdr:nvSpPr>
      <xdr:spPr bwMode="auto">
        <a:xfrm rot="5400000">
          <a:off x="-984885" y="8322945"/>
          <a:ext cx="979932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731520</xdr:colOff>
      <xdr:row>20</xdr:row>
      <xdr:rowOff>53340</xdr:rowOff>
    </xdr:from>
    <xdr:to>
      <xdr:col>1</xdr:col>
      <xdr:colOff>293370</xdr:colOff>
      <xdr:row>98</xdr:row>
      <xdr:rowOff>144780</xdr:rowOff>
    </xdr:to>
    <xdr:sp macro="" textlink="">
      <xdr:nvSpPr>
        <xdr:cNvPr id="1433" name="AutoShape 235">
          <a:extLst>
            <a:ext uri="{FF2B5EF4-FFF2-40B4-BE49-F238E27FC236}">
              <a16:creationId xmlns:a16="http://schemas.microsoft.com/office/drawing/2014/main" id="{23D563AA-48F9-4F13-9AE7-E4AB9AC140D1}"/>
            </a:ext>
          </a:extLst>
        </xdr:cNvPr>
        <xdr:cNvSpPr>
          <a:spLocks noChangeArrowheads="1"/>
        </xdr:cNvSpPr>
      </xdr:nvSpPr>
      <xdr:spPr bwMode="auto">
        <a:xfrm rot="5400000">
          <a:off x="-6196965" y="10357485"/>
          <a:ext cx="1420368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7620</xdr:colOff>
      <xdr:row>70</xdr:row>
      <xdr:rowOff>1</xdr:rowOff>
    </xdr:from>
    <xdr:to>
      <xdr:col>21</xdr:col>
      <xdr:colOff>769620</xdr:colOff>
      <xdr:row>71</xdr:row>
      <xdr:rowOff>1</xdr:rowOff>
    </xdr:to>
    <xdr:sp macro="" textlink="">
      <xdr:nvSpPr>
        <xdr:cNvPr id="1435" name="AutoShape 2">
          <a:extLst>
            <a:ext uri="{FF2B5EF4-FFF2-40B4-BE49-F238E27FC236}">
              <a16:creationId xmlns:a16="http://schemas.microsoft.com/office/drawing/2014/main" id="{6F6A2AD7-0AE5-4A10-B0C5-18AD2FE151B9}"/>
            </a:ext>
          </a:extLst>
        </xdr:cNvPr>
        <xdr:cNvSpPr>
          <a:spLocks noChangeArrowheads="1"/>
        </xdr:cNvSpPr>
      </xdr:nvSpPr>
      <xdr:spPr bwMode="auto">
        <a:xfrm>
          <a:off x="15880080" y="12451081"/>
          <a:ext cx="762000" cy="16764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0</xdr:colOff>
      <xdr:row>84</xdr:row>
      <xdr:rowOff>1</xdr:rowOff>
    </xdr:from>
    <xdr:to>
      <xdr:col>21</xdr:col>
      <xdr:colOff>769620</xdr:colOff>
      <xdr:row>84</xdr:row>
      <xdr:rowOff>175261</xdr:rowOff>
    </xdr:to>
    <xdr:sp macro="" textlink="">
      <xdr:nvSpPr>
        <xdr:cNvPr id="1436" name="AutoShape 2">
          <a:extLst>
            <a:ext uri="{FF2B5EF4-FFF2-40B4-BE49-F238E27FC236}">
              <a16:creationId xmlns:a16="http://schemas.microsoft.com/office/drawing/2014/main" id="{9295B702-639B-4AF2-9E37-A0CCDAF8479B}"/>
            </a:ext>
          </a:extLst>
        </xdr:cNvPr>
        <xdr:cNvSpPr>
          <a:spLocks noChangeArrowheads="1"/>
        </xdr:cNvSpPr>
      </xdr:nvSpPr>
      <xdr:spPr bwMode="auto">
        <a:xfrm>
          <a:off x="15872460" y="14942821"/>
          <a:ext cx="769620" cy="1752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0</xdr:colOff>
      <xdr:row>93</xdr:row>
      <xdr:rowOff>0</xdr:rowOff>
    </xdr:from>
    <xdr:to>
      <xdr:col>21</xdr:col>
      <xdr:colOff>769620</xdr:colOff>
      <xdr:row>94</xdr:row>
      <xdr:rowOff>38100</xdr:rowOff>
    </xdr:to>
    <xdr:sp macro="" textlink="">
      <xdr:nvSpPr>
        <xdr:cNvPr id="1438" name="AutoShape 2">
          <a:extLst>
            <a:ext uri="{FF2B5EF4-FFF2-40B4-BE49-F238E27FC236}">
              <a16:creationId xmlns:a16="http://schemas.microsoft.com/office/drawing/2014/main" id="{5EB591A7-BCC4-4278-8359-4062FA5213BC}"/>
            </a:ext>
          </a:extLst>
        </xdr:cNvPr>
        <xdr:cNvSpPr>
          <a:spLocks noChangeArrowheads="1"/>
        </xdr:cNvSpPr>
      </xdr:nvSpPr>
      <xdr:spPr bwMode="auto">
        <a:xfrm>
          <a:off x="15872460" y="16581120"/>
          <a:ext cx="769620" cy="2133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47625</xdr:colOff>
      <xdr:row>75</xdr:row>
      <xdr:rowOff>38100</xdr:rowOff>
    </xdr:from>
    <xdr:to>
      <xdr:col>14</xdr:col>
      <xdr:colOff>266700</xdr:colOff>
      <xdr:row>75</xdr:row>
      <xdr:rowOff>165735</xdr:rowOff>
    </xdr:to>
    <xdr:grpSp>
      <xdr:nvGrpSpPr>
        <xdr:cNvPr id="1448" name="Group 232">
          <a:extLst>
            <a:ext uri="{FF2B5EF4-FFF2-40B4-BE49-F238E27FC236}">
              <a16:creationId xmlns:a16="http://schemas.microsoft.com/office/drawing/2014/main" id="{C923CD25-CB20-4910-897E-406F3C023093}"/>
            </a:ext>
          </a:extLst>
        </xdr:cNvPr>
        <xdr:cNvGrpSpPr>
          <a:grpSpLocks/>
        </xdr:cNvGrpSpPr>
      </xdr:nvGrpSpPr>
      <xdr:grpSpPr bwMode="auto">
        <a:xfrm>
          <a:off x="11210925" y="13464540"/>
          <a:ext cx="219075" cy="127635"/>
          <a:chOff x="304" y="241"/>
          <a:chExt cx="29" cy="29"/>
        </a:xfrm>
      </xdr:grpSpPr>
      <xdr:sp macro="" textlink="">
        <xdr:nvSpPr>
          <xdr:cNvPr id="1449" name="Oval 233">
            <a:extLst>
              <a:ext uri="{FF2B5EF4-FFF2-40B4-BE49-F238E27FC236}">
                <a16:creationId xmlns:a16="http://schemas.microsoft.com/office/drawing/2014/main" id="{773AD9E3-0020-2979-45E1-0136B603C473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50" name="AutoShape 234">
            <a:extLst>
              <a:ext uri="{FF2B5EF4-FFF2-40B4-BE49-F238E27FC236}">
                <a16:creationId xmlns:a16="http://schemas.microsoft.com/office/drawing/2014/main" id="{02010740-2EBA-CC96-C3B5-07A5E7D809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15</xdr:col>
      <xdr:colOff>772545</xdr:colOff>
      <xdr:row>74</xdr:row>
      <xdr:rowOff>346</xdr:rowOff>
    </xdr:from>
    <xdr:to>
      <xdr:col>21</xdr:col>
      <xdr:colOff>781233</xdr:colOff>
      <xdr:row>74</xdr:row>
      <xdr:rowOff>169713</xdr:rowOff>
    </xdr:to>
    <xdr:sp macro="" textlink="">
      <xdr:nvSpPr>
        <xdr:cNvPr id="1452" name="AutoShape 2">
          <a:extLst>
            <a:ext uri="{FF2B5EF4-FFF2-40B4-BE49-F238E27FC236}">
              <a16:creationId xmlns:a16="http://schemas.microsoft.com/office/drawing/2014/main" id="{FC907165-B2FA-44A4-B018-E55408DA57FB}"/>
            </a:ext>
          </a:extLst>
        </xdr:cNvPr>
        <xdr:cNvSpPr>
          <a:spLocks noChangeArrowheads="1"/>
        </xdr:cNvSpPr>
      </xdr:nvSpPr>
      <xdr:spPr bwMode="auto">
        <a:xfrm rot="21241643">
          <a:off x="11935845" y="13198186"/>
          <a:ext cx="4717848" cy="169367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783414</xdr:colOff>
      <xdr:row>77</xdr:row>
      <xdr:rowOff>8118</xdr:rowOff>
    </xdr:from>
    <xdr:to>
      <xdr:col>22</xdr:col>
      <xdr:colOff>19423</xdr:colOff>
      <xdr:row>78</xdr:row>
      <xdr:rowOff>40499</xdr:rowOff>
    </xdr:to>
    <xdr:sp macro="" textlink="">
      <xdr:nvSpPr>
        <xdr:cNvPr id="1453" name="AutoShape 2">
          <a:extLst>
            <a:ext uri="{FF2B5EF4-FFF2-40B4-BE49-F238E27FC236}">
              <a16:creationId xmlns:a16="http://schemas.microsoft.com/office/drawing/2014/main" id="{48AD9D82-129D-4C32-B3ED-173EB5AAE6A9}"/>
            </a:ext>
          </a:extLst>
        </xdr:cNvPr>
        <xdr:cNvSpPr>
          <a:spLocks noChangeArrowheads="1"/>
        </xdr:cNvSpPr>
      </xdr:nvSpPr>
      <xdr:spPr bwMode="auto">
        <a:xfrm rot="318807">
          <a:off x="11946714" y="13830798"/>
          <a:ext cx="4730029" cy="200021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648720</xdr:colOff>
      <xdr:row>85</xdr:row>
      <xdr:rowOff>160616</xdr:rowOff>
    </xdr:from>
    <xdr:to>
      <xdr:col>22</xdr:col>
      <xdr:colOff>186794</xdr:colOff>
      <xdr:row>86</xdr:row>
      <xdr:rowOff>156096</xdr:rowOff>
    </xdr:to>
    <xdr:sp macro="" textlink="">
      <xdr:nvSpPr>
        <xdr:cNvPr id="1454" name="AutoShape 2">
          <a:extLst>
            <a:ext uri="{FF2B5EF4-FFF2-40B4-BE49-F238E27FC236}">
              <a16:creationId xmlns:a16="http://schemas.microsoft.com/office/drawing/2014/main" id="{713A8022-1FC4-45F6-802C-334BE325F315}"/>
            </a:ext>
          </a:extLst>
        </xdr:cNvPr>
        <xdr:cNvSpPr>
          <a:spLocks noChangeArrowheads="1"/>
        </xdr:cNvSpPr>
      </xdr:nvSpPr>
      <xdr:spPr bwMode="auto">
        <a:xfrm rot="1272812">
          <a:off x="11812020" y="15400616"/>
          <a:ext cx="5032094" cy="2164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19</xdr:col>
      <xdr:colOff>0</xdr:colOff>
      <xdr:row>70</xdr:row>
      <xdr:rowOff>0</xdr:rowOff>
    </xdr:from>
    <xdr:to>
      <xdr:col>19</xdr:col>
      <xdr:colOff>762000</xdr:colOff>
      <xdr:row>71</xdr:row>
      <xdr:rowOff>0</xdr:rowOff>
    </xdr:to>
    <xdr:sp macro="" textlink="">
      <xdr:nvSpPr>
        <xdr:cNvPr id="1455" name="AutoShape 2">
          <a:extLst>
            <a:ext uri="{FF2B5EF4-FFF2-40B4-BE49-F238E27FC236}">
              <a16:creationId xmlns:a16="http://schemas.microsoft.com/office/drawing/2014/main" id="{4E56E260-E3D4-412E-87A7-DFE0EFDF4D0D}"/>
            </a:ext>
          </a:extLst>
        </xdr:cNvPr>
        <xdr:cNvSpPr>
          <a:spLocks noChangeArrowheads="1"/>
        </xdr:cNvSpPr>
      </xdr:nvSpPr>
      <xdr:spPr bwMode="auto">
        <a:xfrm>
          <a:off x="14302740" y="12451080"/>
          <a:ext cx="762000" cy="16764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90</xdr:row>
      <xdr:rowOff>0</xdr:rowOff>
    </xdr:from>
    <xdr:to>
      <xdr:col>13</xdr:col>
      <xdr:colOff>361950</xdr:colOff>
      <xdr:row>91</xdr:row>
      <xdr:rowOff>41910</xdr:rowOff>
    </xdr:to>
    <xdr:grpSp>
      <xdr:nvGrpSpPr>
        <xdr:cNvPr id="1456" name="Group 60">
          <a:extLst>
            <a:ext uri="{FF2B5EF4-FFF2-40B4-BE49-F238E27FC236}">
              <a16:creationId xmlns:a16="http://schemas.microsoft.com/office/drawing/2014/main" id="{CE3891B5-189C-4AD2-A98D-7ABC401E6BCB}"/>
            </a:ext>
          </a:extLst>
        </xdr:cNvPr>
        <xdr:cNvGrpSpPr>
          <a:grpSpLocks/>
        </xdr:cNvGrpSpPr>
      </xdr:nvGrpSpPr>
      <xdr:grpSpPr bwMode="auto">
        <a:xfrm>
          <a:off x="10378440" y="16154400"/>
          <a:ext cx="361950" cy="209550"/>
          <a:chOff x="1860" y="222"/>
          <a:chExt cx="159" cy="139"/>
        </a:xfrm>
      </xdr:grpSpPr>
      <xdr:sp macro="" textlink="">
        <xdr:nvSpPr>
          <xdr:cNvPr id="1457" name="AutoShape 61">
            <a:extLst>
              <a:ext uri="{FF2B5EF4-FFF2-40B4-BE49-F238E27FC236}">
                <a16:creationId xmlns:a16="http://schemas.microsoft.com/office/drawing/2014/main" id="{8ADCAE2B-1062-93BD-0BA6-7F846D5590EC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58" name="Line 62">
            <a:extLst>
              <a:ext uri="{FF2B5EF4-FFF2-40B4-BE49-F238E27FC236}">
                <a16:creationId xmlns:a16="http://schemas.microsoft.com/office/drawing/2014/main" id="{8C5077C0-0D60-3CA4-FF02-F6FDE03B170D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59" name="Line 63">
            <a:extLst>
              <a:ext uri="{FF2B5EF4-FFF2-40B4-BE49-F238E27FC236}">
                <a16:creationId xmlns:a16="http://schemas.microsoft.com/office/drawing/2014/main" id="{AEECB89A-2158-D470-2919-199AAC8869F4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60" name="Line 64">
            <a:extLst>
              <a:ext uri="{FF2B5EF4-FFF2-40B4-BE49-F238E27FC236}">
                <a16:creationId xmlns:a16="http://schemas.microsoft.com/office/drawing/2014/main" id="{65578B11-64F3-707B-94B1-A87B9234F29A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0</xdr:colOff>
      <xdr:row>78</xdr:row>
      <xdr:rowOff>0</xdr:rowOff>
    </xdr:from>
    <xdr:to>
      <xdr:col>16</xdr:col>
      <xdr:colOff>361950</xdr:colOff>
      <xdr:row>79</xdr:row>
      <xdr:rowOff>41910</xdr:rowOff>
    </xdr:to>
    <xdr:grpSp>
      <xdr:nvGrpSpPr>
        <xdr:cNvPr id="1466" name="Group 60">
          <a:extLst>
            <a:ext uri="{FF2B5EF4-FFF2-40B4-BE49-F238E27FC236}">
              <a16:creationId xmlns:a16="http://schemas.microsoft.com/office/drawing/2014/main" id="{6AAD6459-E6AD-4213-AFD8-A9259F9036FC}"/>
            </a:ext>
          </a:extLst>
        </xdr:cNvPr>
        <xdr:cNvGrpSpPr>
          <a:grpSpLocks/>
        </xdr:cNvGrpSpPr>
      </xdr:nvGrpSpPr>
      <xdr:grpSpPr bwMode="auto">
        <a:xfrm>
          <a:off x="12733020" y="13997940"/>
          <a:ext cx="361950" cy="209550"/>
          <a:chOff x="1860" y="222"/>
          <a:chExt cx="159" cy="139"/>
        </a:xfrm>
      </xdr:grpSpPr>
      <xdr:sp macro="" textlink="">
        <xdr:nvSpPr>
          <xdr:cNvPr id="1467" name="AutoShape 61">
            <a:extLst>
              <a:ext uri="{FF2B5EF4-FFF2-40B4-BE49-F238E27FC236}">
                <a16:creationId xmlns:a16="http://schemas.microsoft.com/office/drawing/2014/main" id="{D2D53072-9F52-B472-E6A6-4DFC3789C392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68" name="Line 62">
            <a:extLst>
              <a:ext uri="{FF2B5EF4-FFF2-40B4-BE49-F238E27FC236}">
                <a16:creationId xmlns:a16="http://schemas.microsoft.com/office/drawing/2014/main" id="{82B6D573-8497-A563-3AB1-0494FFD083CA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69" name="Line 63">
            <a:extLst>
              <a:ext uri="{FF2B5EF4-FFF2-40B4-BE49-F238E27FC236}">
                <a16:creationId xmlns:a16="http://schemas.microsoft.com/office/drawing/2014/main" id="{555DE6A0-62EA-1963-2595-E19714B58892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0" name="Line 64">
            <a:extLst>
              <a:ext uri="{FF2B5EF4-FFF2-40B4-BE49-F238E27FC236}">
                <a16:creationId xmlns:a16="http://schemas.microsoft.com/office/drawing/2014/main" id="{A387ED6E-9CED-5679-E048-28665367D1C3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361950</xdr:colOff>
      <xdr:row>68</xdr:row>
      <xdr:rowOff>41910</xdr:rowOff>
    </xdr:to>
    <xdr:grpSp>
      <xdr:nvGrpSpPr>
        <xdr:cNvPr id="1471" name="Group 60">
          <a:extLst>
            <a:ext uri="{FF2B5EF4-FFF2-40B4-BE49-F238E27FC236}">
              <a16:creationId xmlns:a16="http://schemas.microsoft.com/office/drawing/2014/main" id="{FFB2AF7A-36BB-4382-B080-06B77BB7604A}"/>
            </a:ext>
          </a:extLst>
        </xdr:cNvPr>
        <xdr:cNvGrpSpPr>
          <a:grpSpLocks/>
        </xdr:cNvGrpSpPr>
      </xdr:nvGrpSpPr>
      <xdr:grpSpPr bwMode="auto">
        <a:xfrm>
          <a:off x="11163300" y="11948160"/>
          <a:ext cx="361950" cy="209550"/>
          <a:chOff x="1860" y="222"/>
          <a:chExt cx="159" cy="139"/>
        </a:xfrm>
      </xdr:grpSpPr>
      <xdr:sp macro="" textlink="">
        <xdr:nvSpPr>
          <xdr:cNvPr id="1472" name="AutoShape 61">
            <a:extLst>
              <a:ext uri="{FF2B5EF4-FFF2-40B4-BE49-F238E27FC236}">
                <a16:creationId xmlns:a16="http://schemas.microsoft.com/office/drawing/2014/main" id="{9F367AB8-2FC4-CDC1-05BB-BE07B5E2048E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3" name="Line 62">
            <a:extLst>
              <a:ext uri="{FF2B5EF4-FFF2-40B4-BE49-F238E27FC236}">
                <a16:creationId xmlns:a16="http://schemas.microsoft.com/office/drawing/2014/main" id="{B072D927-8F23-583A-6DE3-17BD8D4FE64F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4" name="Line 63">
            <a:extLst>
              <a:ext uri="{FF2B5EF4-FFF2-40B4-BE49-F238E27FC236}">
                <a16:creationId xmlns:a16="http://schemas.microsoft.com/office/drawing/2014/main" id="{9415846D-A0ED-B94F-F484-CE4BC78D1C6D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5" name="Line 64">
            <a:extLst>
              <a:ext uri="{FF2B5EF4-FFF2-40B4-BE49-F238E27FC236}">
                <a16:creationId xmlns:a16="http://schemas.microsoft.com/office/drawing/2014/main" id="{5AEF910C-0739-7C0B-C323-530CCB7ECD03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18</xdr:col>
      <xdr:colOff>0</xdr:colOff>
      <xdr:row>64</xdr:row>
      <xdr:rowOff>0</xdr:rowOff>
    </xdr:from>
    <xdr:to>
      <xdr:col>18</xdr:col>
      <xdr:colOff>361950</xdr:colOff>
      <xdr:row>65</xdr:row>
      <xdr:rowOff>34290</xdr:rowOff>
    </xdr:to>
    <xdr:grpSp>
      <xdr:nvGrpSpPr>
        <xdr:cNvPr id="1476" name="Group 60">
          <a:extLst>
            <a:ext uri="{FF2B5EF4-FFF2-40B4-BE49-F238E27FC236}">
              <a16:creationId xmlns:a16="http://schemas.microsoft.com/office/drawing/2014/main" id="{C84FEEA8-C018-43BC-A013-DFDDA47F492F}"/>
            </a:ext>
          </a:extLst>
        </xdr:cNvPr>
        <xdr:cNvGrpSpPr>
          <a:grpSpLocks/>
        </xdr:cNvGrpSpPr>
      </xdr:nvGrpSpPr>
      <xdr:grpSpPr bwMode="auto">
        <a:xfrm>
          <a:off x="14302740" y="11437620"/>
          <a:ext cx="361950" cy="209550"/>
          <a:chOff x="1860" y="222"/>
          <a:chExt cx="159" cy="139"/>
        </a:xfrm>
      </xdr:grpSpPr>
      <xdr:sp macro="" textlink="">
        <xdr:nvSpPr>
          <xdr:cNvPr id="1477" name="AutoShape 61">
            <a:extLst>
              <a:ext uri="{FF2B5EF4-FFF2-40B4-BE49-F238E27FC236}">
                <a16:creationId xmlns:a16="http://schemas.microsoft.com/office/drawing/2014/main" id="{F01CA7B9-3D3F-7FA9-89A5-1E0B7381D770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8" name="Line 62">
            <a:extLst>
              <a:ext uri="{FF2B5EF4-FFF2-40B4-BE49-F238E27FC236}">
                <a16:creationId xmlns:a16="http://schemas.microsoft.com/office/drawing/2014/main" id="{42EEC56A-58B2-A137-2FC7-E2A19194CC79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9" name="Line 63">
            <a:extLst>
              <a:ext uri="{FF2B5EF4-FFF2-40B4-BE49-F238E27FC236}">
                <a16:creationId xmlns:a16="http://schemas.microsoft.com/office/drawing/2014/main" id="{27334163-363C-EA1B-C936-1E5E27702595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80" name="Line 64">
            <a:extLst>
              <a:ext uri="{FF2B5EF4-FFF2-40B4-BE49-F238E27FC236}">
                <a16:creationId xmlns:a16="http://schemas.microsoft.com/office/drawing/2014/main" id="{F50B0D79-5D20-4E52-9292-8D8FFA73987D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15240</xdr:colOff>
      <xdr:row>110</xdr:row>
      <xdr:rowOff>114300</xdr:rowOff>
    </xdr:from>
    <xdr:to>
      <xdr:col>19</xdr:col>
      <xdr:colOff>335280</xdr:colOff>
      <xdr:row>113</xdr:row>
      <xdr:rowOff>85725</xdr:rowOff>
    </xdr:to>
    <xdr:grpSp>
      <xdr:nvGrpSpPr>
        <xdr:cNvPr id="1481" name="Group 245">
          <a:extLst>
            <a:ext uri="{FF2B5EF4-FFF2-40B4-BE49-F238E27FC236}">
              <a16:creationId xmlns:a16="http://schemas.microsoft.com/office/drawing/2014/main" id="{A024D46B-806E-4CB7-8D11-F98E179A4F0D}"/>
            </a:ext>
          </a:extLst>
        </xdr:cNvPr>
        <xdr:cNvGrpSpPr>
          <a:grpSpLocks/>
        </xdr:cNvGrpSpPr>
      </xdr:nvGrpSpPr>
      <xdr:grpSpPr bwMode="auto">
        <a:xfrm>
          <a:off x="10393680" y="19766280"/>
          <a:ext cx="5029200" cy="474345"/>
          <a:chOff x="79" y="968"/>
          <a:chExt cx="303" cy="36"/>
        </a:xfrm>
      </xdr:grpSpPr>
      <xdr:sp macro="" textlink="">
        <xdr:nvSpPr>
          <xdr:cNvPr id="1482" name="Line 237">
            <a:extLst>
              <a:ext uri="{FF2B5EF4-FFF2-40B4-BE49-F238E27FC236}">
                <a16:creationId xmlns:a16="http://schemas.microsoft.com/office/drawing/2014/main" id="{DBFBB05D-DFAD-2DB4-4F42-70E427EC7AA9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3" name="Line 241">
            <a:extLst>
              <a:ext uri="{FF2B5EF4-FFF2-40B4-BE49-F238E27FC236}">
                <a16:creationId xmlns:a16="http://schemas.microsoft.com/office/drawing/2014/main" id="{5E0C0362-AC36-AA4F-45A7-3C6B0BB7A4C9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4" name="Line 242">
            <a:extLst>
              <a:ext uri="{FF2B5EF4-FFF2-40B4-BE49-F238E27FC236}">
                <a16:creationId xmlns:a16="http://schemas.microsoft.com/office/drawing/2014/main" id="{D94ECD37-50CD-D7B4-B3FD-6346C66B98B6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5" name="Line 243">
            <a:extLst>
              <a:ext uri="{FF2B5EF4-FFF2-40B4-BE49-F238E27FC236}">
                <a16:creationId xmlns:a16="http://schemas.microsoft.com/office/drawing/2014/main" id="{58705FB5-9CC4-122D-CF03-4F6892F2B918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6" name="Line 244">
            <a:extLst>
              <a:ext uri="{FF2B5EF4-FFF2-40B4-BE49-F238E27FC236}">
                <a16:creationId xmlns:a16="http://schemas.microsoft.com/office/drawing/2014/main" id="{9ECA9210-733A-AA51-A801-44FC732AAD1C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114300</xdr:colOff>
      <xdr:row>110</xdr:row>
      <xdr:rowOff>114300</xdr:rowOff>
    </xdr:from>
    <xdr:to>
      <xdr:col>22</xdr:col>
      <xdr:colOff>723900</xdr:colOff>
      <xdr:row>113</xdr:row>
      <xdr:rowOff>85725</xdr:rowOff>
    </xdr:to>
    <xdr:grpSp>
      <xdr:nvGrpSpPr>
        <xdr:cNvPr id="1487" name="Group 245">
          <a:extLst>
            <a:ext uri="{FF2B5EF4-FFF2-40B4-BE49-F238E27FC236}">
              <a16:creationId xmlns:a16="http://schemas.microsoft.com/office/drawing/2014/main" id="{9567434B-5252-4728-87B8-81262B21A708}"/>
            </a:ext>
          </a:extLst>
        </xdr:cNvPr>
        <xdr:cNvGrpSpPr>
          <a:grpSpLocks/>
        </xdr:cNvGrpSpPr>
      </xdr:nvGrpSpPr>
      <xdr:grpSpPr bwMode="auto">
        <a:xfrm>
          <a:off x="15201900" y="19766280"/>
          <a:ext cx="2964180" cy="474345"/>
          <a:chOff x="79" y="968"/>
          <a:chExt cx="303" cy="36"/>
        </a:xfrm>
      </xdr:grpSpPr>
      <xdr:sp macro="" textlink="">
        <xdr:nvSpPr>
          <xdr:cNvPr id="1488" name="Line 237">
            <a:extLst>
              <a:ext uri="{FF2B5EF4-FFF2-40B4-BE49-F238E27FC236}">
                <a16:creationId xmlns:a16="http://schemas.microsoft.com/office/drawing/2014/main" id="{DE81975C-2755-BEF7-3A03-F45850F138E1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9" name="Line 241">
            <a:extLst>
              <a:ext uri="{FF2B5EF4-FFF2-40B4-BE49-F238E27FC236}">
                <a16:creationId xmlns:a16="http://schemas.microsoft.com/office/drawing/2014/main" id="{D8EB20F3-6A29-DCFE-4577-6863AC25652D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0" name="Line 242">
            <a:extLst>
              <a:ext uri="{FF2B5EF4-FFF2-40B4-BE49-F238E27FC236}">
                <a16:creationId xmlns:a16="http://schemas.microsoft.com/office/drawing/2014/main" id="{B53BCD6A-0F69-3E6F-AD7F-9C14CE707DD0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1" name="Line 243">
            <a:extLst>
              <a:ext uri="{FF2B5EF4-FFF2-40B4-BE49-F238E27FC236}">
                <a16:creationId xmlns:a16="http://schemas.microsoft.com/office/drawing/2014/main" id="{C1189839-9B57-3AF9-40B6-64A3384CF8BA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2" name="Line 244">
            <a:extLst>
              <a:ext uri="{FF2B5EF4-FFF2-40B4-BE49-F238E27FC236}">
                <a16:creationId xmlns:a16="http://schemas.microsoft.com/office/drawing/2014/main" id="{E7840BCA-052B-4DB7-7F00-5F88632C15A0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236220</xdr:colOff>
      <xdr:row>110</xdr:row>
      <xdr:rowOff>91440</xdr:rowOff>
    </xdr:from>
    <xdr:to>
      <xdr:col>9</xdr:col>
      <xdr:colOff>15240</xdr:colOff>
      <xdr:row>113</xdr:row>
      <xdr:rowOff>62865</xdr:rowOff>
    </xdr:to>
    <xdr:grpSp>
      <xdr:nvGrpSpPr>
        <xdr:cNvPr id="1493" name="Group 245">
          <a:extLst>
            <a:ext uri="{FF2B5EF4-FFF2-40B4-BE49-F238E27FC236}">
              <a16:creationId xmlns:a16="http://schemas.microsoft.com/office/drawing/2014/main" id="{936CE4FB-FB70-49C4-A9BF-9B89BBAEFABE}"/>
            </a:ext>
          </a:extLst>
        </xdr:cNvPr>
        <xdr:cNvGrpSpPr>
          <a:grpSpLocks/>
        </xdr:cNvGrpSpPr>
      </xdr:nvGrpSpPr>
      <xdr:grpSpPr bwMode="auto">
        <a:xfrm>
          <a:off x="1021080" y="19743420"/>
          <a:ext cx="6408420" cy="474345"/>
          <a:chOff x="79" y="968"/>
          <a:chExt cx="303" cy="36"/>
        </a:xfrm>
      </xdr:grpSpPr>
      <xdr:sp macro="" textlink="">
        <xdr:nvSpPr>
          <xdr:cNvPr id="1494" name="Line 237">
            <a:extLst>
              <a:ext uri="{FF2B5EF4-FFF2-40B4-BE49-F238E27FC236}">
                <a16:creationId xmlns:a16="http://schemas.microsoft.com/office/drawing/2014/main" id="{89DEFCB7-60F3-B643-0906-AAD5F0D8C263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5" name="Line 241">
            <a:extLst>
              <a:ext uri="{FF2B5EF4-FFF2-40B4-BE49-F238E27FC236}">
                <a16:creationId xmlns:a16="http://schemas.microsoft.com/office/drawing/2014/main" id="{3E800656-7244-198D-D2C0-98BA40862606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6" name="Line 242">
            <a:extLst>
              <a:ext uri="{FF2B5EF4-FFF2-40B4-BE49-F238E27FC236}">
                <a16:creationId xmlns:a16="http://schemas.microsoft.com/office/drawing/2014/main" id="{6AB68B1C-3539-F8E9-BE4C-646F7D6041C3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7" name="Line 243">
            <a:extLst>
              <a:ext uri="{FF2B5EF4-FFF2-40B4-BE49-F238E27FC236}">
                <a16:creationId xmlns:a16="http://schemas.microsoft.com/office/drawing/2014/main" id="{5D54487D-D038-D05A-97E1-C0414795AB40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8" name="Line 244">
            <a:extLst>
              <a:ext uri="{FF2B5EF4-FFF2-40B4-BE49-F238E27FC236}">
                <a16:creationId xmlns:a16="http://schemas.microsoft.com/office/drawing/2014/main" id="{7BAFAC65-AB65-810A-B837-11B1E2565A83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49</xdr:row>
      <xdr:rowOff>0</xdr:rowOff>
    </xdr:from>
    <xdr:to>
      <xdr:col>7</xdr:col>
      <xdr:colOff>361950</xdr:colOff>
      <xdr:row>50</xdr:row>
      <xdr:rowOff>41910</xdr:rowOff>
    </xdr:to>
    <xdr:grpSp>
      <xdr:nvGrpSpPr>
        <xdr:cNvPr id="1499" name="Group 60">
          <a:extLst>
            <a:ext uri="{FF2B5EF4-FFF2-40B4-BE49-F238E27FC236}">
              <a16:creationId xmlns:a16="http://schemas.microsoft.com/office/drawing/2014/main" id="{E2F4B98F-482A-4855-8F2A-90830BA59CDC}"/>
            </a:ext>
          </a:extLst>
        </xdr:cNvPr>
        <xdr:cNvGrpSpPr>
          <a:grpSpLocks/>
        </xdr:cNvGrpSpPr>
      </xdr:nvGrpSpPr>
      <xdr:grpSpPr bwMode="auto">
        <a:xfrm>
          <a:off x="5494020" y="8679180"/>
          <a:ext cx="361950" cy="209550"/>
          <a:chOff x="1860" y="222"/>
          <a:chExt cx="159" cy="139"/>
        </a:xfrm>
      </xdr:grpSpPr>
      <xdr:sp macro="" textlink="">
        <xdr:nvSpPr>
          <xdr:cNvPr id="1500" name="AutoShape 61">
            <a:extLst>
              <a:ext uri="{FF2B5EF4-FFF2-40B4-BE49-F238E27FC236}">
                <a16:creationId xmlns:a16="http://schemas.microsoft.com/office/drawing/2014/main" id="{9416778A-7079-36E8-9645-1A16AB108EBD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01" name="Line 62">
            <a:extLst>
              <a:ext uri="{FF2B5EF4-FFF2-40B4-BE49-F238E27FC236}">
                <a16:creationId xmlns:a16="http://schemas.microsoft.com/office/drawing/2014/main" id="{A692E5DF-3376-B8FC-FDF2-16513C5647A7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02" name="Line 63">
            <a:extLst>
              <a:ext uri="{FF2B5EF4-FFF2-40B4-BE49-F238E27FC236}">
                <a16:creationId xmlns:a16="http://schemas.microsoft.com/office/drawing/2014/main" id="{B553F703-CBC4-9011-E4B7-BF677EE59B22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03" name="Line 64">
            <a:extLst>
              <a:ext uri="{FF2B5EF4-FFF2-40B4-BE49-F238E27FC236}">
                <a16:creationId xmlns:a16="http://schemas.microsoft.com/office/drawing/2014/main" id="{C5031614-96F4-027F-4A00-015140689468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723900</xdr:colOff>
      <xdr:row>63</xdr:row>
      <xdr:rowOff>187830</xdr:rowOff>
    </xdr:from>
    <xdr:to>
      <xdr:col>5</xdr:col>
      <xdr:colOff>22860</xdr:colOff>
      <xdr:row>66</xdr:row>
      <xdr:rowOff>59602</xdr:rowOff>
    </xdr:to>
    <xdr:pic>
      <xdr:nvPicPr>
        <xdr:cNvPr id="1506" name="Picture 92">
          <a:extLst>
            <a:ext uri="{FF2B5EF4-FFF2-40B4-BE49-F238E27FC236}">
              <a16:creationId xmlns:a16="http://schemas.microsoft.com/office/drawing/2014/main" id="{D3E7DD8A-043B-4EDD-9364-D954CE0C3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11404470"/>
          <a:ext cx="868680" cy="43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5</xdr:col>
      <xdr:colOff>167640</xdr:colOff>
      <xdr:row>29</xdr:row>
      <xdr:rowOff>166672</xdr:rowOff>
    </xdr:to>
    <xdr:pic>
      <xdr:nvPicPr>
        <xdr:cNvPr id="1508" name="Picture 92">
          <a:extLst>
            <a:ext uri="{FF2B5EF4-FFF2-40B4-BE49-F238E27FC236}">
              <a16:creationId xmlns:a16="http://schemas.microsoft.com/office/drawing/2014/main" id="{27F8D666-0011-4C15-8761-11E06C43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9440" y="4594860"/>
          <a:ext cx="952500" cy="5019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600075</xdr:colOff>
      <xdr:row>66</xdr:row>
      <xdr:rowOff>148590</xdr:rowOff>
    </xdr:to>
    <xdr:pic>
      <xdr:nvPicPr>
        <xdr:cNvPr id="1511" name="Picture 92">
          <a:extLst>
            <a:ext uri="{FF2B5EF4-FFF2-40B4-BE49-F238E27FC236}">
              <a16:creationId xmlns:a16="http://schemas.microsoft.com/office/drawing/2014/main" id="{911C8863-9015-4DB4-894A-559BD9B30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116128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0</xdr:colOff>
      <xdr:row>78</xdr:row>
      <xdr:rowOff>0</xdr:rowOff>
    </xdr:from>
    <xdr:to>
      <xdr:col>17</xdr:col>
      <xdr:colOff>600075</xdr:colOff>
      <xdr:row>79</xdr:row>
      <xdr:rowOff>148590</xdr:rowOff>
    </xdr:to>
    <xdr:pic>
      <xdr:nvPicPr>
        <xdr:cNvPr id="1512" name="Picture 92">
          <a:extLst>
            <a:ext uri="{FF2B5EF4-FFF2-40B4-BE49-F238E27FC236}">
              <a16:creationId xmlns:a16="http://schemas.microsoft.com/office/drawing/2014/main" id="{DF9354BE-39B5-4227-A251-5CA4DCFC3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7880" y="1399794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0</xdr:colOff>
      <xdr:row>67</xdr:row>
      <xdr:rowOff>0</xdr:rowOff>
    </xdr:from>
    <xdr:to>
      <xdr:col>19</xdr:col>
      <xdr:colOff>600075</xdr:colOff>
      <xdr:row>68</xdr:row>
      <xdr:rowOff>148590</xdr:rowOff>
    </xdr:to>
    <xdr:pic>
      <xdr:nvPicPr>
        <xdr:cNvPr id="1516" name="Picture 92">
          <a:extLst>
            <a:ext uri="{FF2B5EF4-FFF2-40B4-BE49-F238E27FC236}">
              <a16:creationId xmlns:a16="http://schemas.microsoft.com/office/drawing/2014/main" id="{0EE9514E-D7F4-400C-B1CC-A902BE55C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194816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14</xdr:col>
      <xdr:colOff>600075</xdr:colOff>
      <xdr:row>93</xdr:row>
      <xdr:rowOff>148590</xdr:rowOff>
    </xdr:to>
    <xdr:pic>
      <xdr:nvPicPr>
        <xdr:cNvPr id="1517" name="Picture 92">
          <a:extLst>
            <a:ext uri="{FF2B5EF4-FFF2-40B4-BE49-F238E27FC236}">
              <a16:creationId xmlns:a16="http://schemas.microsoft.com/office/drawing/2014/main" id="{D7099841-8DE6-4094-A8EF-976FB74CC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164896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600075</xdr:colOff>
      <xdr:row>5</xdr:row>
      <xdr:rowOff>148590</xdr:rowOff>
    </xdr:to>
    <xdr:pic>
      <xdr:nvPicPr>
        <xdr:cNvPr id="1518" name="Picture 92">
          <a:extLst>
            <a:ext uri="{FF2B5EF4-FFF2-40B4-BE49-F238E27FC236}">
              <a16:creationId xmlns:a16="http://schemas.microsoft.com/office/drawing/2014/main" id="{518B51C1-4035-45DA-A08A-17A588256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6781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0</xdr:colOff>
      <xdr:row>60</xdr:row>
      <xdr:rowOff>0</xdr:rowOff>
    </xdr:from>
    <xdr:to>
      <xdr:col>20</xdr:col>
      <xdr:colOff>600075</xdr:colOff>
      <xdr:row>61</xdr:row>
      <xdr:rowOff>95250</xdr:rowOff>
    </xdr:to>
    <xdr:pic>
      <xdr:nvPicPr>
        <xdr:cNvPr id="1520" name="Picture 92">
          <a:extLst>
            <a:ext uri="{FF2B5EF4-FFF2-40B4-BE49-F238E27FC236}">
              <a16:creationId xmlns:a16="http://schemas.microsoft.com/office/drawing/2014/main" id="{81B16C9A-43F3-4C90-A47F-BE3693982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2460" y="1059180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90</xdr:row>
      <xdr:rowOff>0</xdr:rowOff>
    </xdr:from>
    <xdr:to>
      <xdr:col>9</xdr:col>
      <xdr:colOff>600075</xdr:colOff>
      <xdr:row>91</xdr:row>
      <xdr:rowOff>148590</xdr:rowOff>
    </xdr:to>
    <xdr:pic>
      <xdr:nvPicPr>
        <xdr:cNvPr id="1521" name="Picture 92">
          <a:extLst>
            <a:ext uri="{FF2B5EF4-FFF2-40B4-BE49-F238E27FC236}">
              <a16:creationId xmlns:a16="http://schemas.microsoft.com/office/drawing/2014/main" id="{EE9C1A43-3EFD-4D7D-B1CB-B9B2F107F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4260" y="1615440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8</xdr:col>
      <xdr:colOff>600075</xdr:colOff>
      <xdr:row>50</xdr:row>
      <xdr:rowOff>148590</xdr:rowOff>
    </xdr:to>
    <xdr:pic>
      <xdr:nvPicPr>
        <xdr:cNvPr id="1522" name="Picture 92">
          <a:extLst>
            <a:ext uri="{FF2B5EF4-FFF2-40B4-BE49-F238E27FC236}">
              <a16:creationId xmlns:a16="http://schemas.microsoft.com/office/drawing/2014/main" id="{BB9CFB25-25F5-4DDD-A5CF-B34291663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791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600075</xdr:colOff>
      <xdr:row>52</xdr:row>
      <xdr:rowOff>148590</xdr:rowOff>
    </xdr:to>
    <xdr:pic>
      <xdr:nvPicPr>
        <xdr:cNvPr id="1523" name="Picture 92">
          <a:extLst>
            <a:ext uri="{FF2B5EF4-FFF2-40B4-BE49-F238E27FC236}">
              <a16:creationId xmlns:a16="http://schemas.microsoft.com/office/drawing/2014/main" id="{F4D31C8A-8F80-481B-93D2-A5308FA1F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720" y="901446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47</xdr:row>
      <xdr:rowOff>38100</xdr:rowOff>
    </xdr:from>
    <xdr:to>
      <xdr:col>10</xdr:col>
      <xdr:colOff>266700</xdr:colOff>
      <xdr:row>47</xdr:row>
      <xdr:rowOff>219075</xdr:rowOff>
    </xdr:to>
    <xdr:grpSp>
      <xdr:nvGrpSpPr>
        <xdr:cNvPr id="2" name="Group 232">
          <a:extLst>
            <a:ext uri="{FF2B5EF4-FFF2-40B4-BE49-F238E27FC236}">
              <a16:creationId xmlns:a16="http://schemas.microsoft.com/office/drawing/2014/main" id="{B9D2DAF8-ABB0-4907-8CCD-647CEE504996}"/>
            </a:ext>
          </a:extLst>
        </xdr:cNvPr>
        <xdr:cNvGrpSpPr>
          <a:grpSpLocks/>
        </xdr:cNvGrpSpPr>
      </xdr:nvGrpSpPr>
      <xdr:grpSpPr bwMode="auto">
        <a:xfrm>
          <a:off x="8246745" y="8511540"/>
          <a:ext cx="219075" cy="180975"/>
          <a:chOff x="304" y="241"/>
          <a:chExt cx="29" cy="29"/>
        </a:xfrm>
      </xdr:grpSpPr>
      <xdr:sp macro="" textlink="">
        <xdr:nvSpPr>
          <xdr:cNvPr id="3" name="Oval 233">
            <a:extLst>
              <a:ext uri="{FF2B5EF4-FFF2-40B4-BE49-F238E27FC236}">
                <a16:creationId xmlns:a16="http://schemas.microsoft.com/office/drawing/2014/main" id="{206DC11C-1090-CFB6-AC8C-9CCC9EB3E495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" name="AutoShape 234">
            <a:extLst>
              <a:ext uri="{FF2B5EF4-FFF2-40B4-BE49-F238E27FC236}">
                <a16:creationId xmlns:a16="http://schemas.microsoft.com/office/drawing/2014/main" id="{8F09E6F6-3988-B168-6A21-74F93AC2F9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</xdr:col>
      <xdr:colOff>9524</xdr:colOff>
      <xdr:row>46</xdr:row>
      <xdr:rowOff>104775</xdr:rowOff>
    </xdr:from>
    <xdr:to>
      <xdr:col>13</xdr:col>
      <xdr:colOff>769619</xdr:colOff>
      <xdr:row>48</xdr:row>
      <xdr:rowOff>9525</xdr:rowOff>
    </xdr:to>
    <xdr:sp macro="" textlink="">
      <xdr:nvSpPr>
        <xdr:cNvPr id="6" name="AutoShape 236">
          <a:extLst>
            <a:ext uri="{FF2B5EF4-FFF2-40B4-BE49-F238E27FC236}">
              <a16:creationId xmlns:a16="http://schemas.microsoft.com/office/drawing/2014/main" id="{BD67B60A-0DEA-4914-BCFF-3AF2EC2DE3E3}"/>
            </a:ext>
          </a:extLst>
        </xdr:cNvPr>
        <xdr:cNvSpPr>
          <a:spLocks noChangeArrowheads="1"/>
        </xdr:cNvSpPr>
      </xdr:nvSpPr>
      <xdr:spPr bwMode="auto">
        <a:xfrm>
          <a:off x="3933824" y="8166735"/>
          <a:ext cx="154495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782955</xdr:colOff>
      <xdr:row>110</xdr:row>
      <xdr:rowOff>121920</xdr:rowOff>
    </xdr:from>
    <xdr:to>
      <xdr:col>12</xdr:col>
      <xdr:colOff>782955</xdr:colOff>
      <xdr:row>113</xdr:row>
      <xdr:rowOff>93345</xdr:rowOff>
    </xdr:to>
    <xdr:grpSp>
      <xdr:nvGrpSpPr>
        <xdr:cNvPr id="7" name="Group 245">
          <a:extLst>
            <a:ext uri="{FF2B5EF4-FFF2-40B4-BE49-F238E27FC236}">
              <a16:creationId xmlns:a16="http://schemas.microsoft.com/office/drawing/2014/main" id="{1C8DB745-A118-45CD-8C11-6DFE94BFAC97}"/>
            </a:ext>
          </a:extLst>
        </xdr:cNvPr>
        <xdr:cNvGrpSpPr>
          <a:grpSpLocks/>
        </xdr:cNvGrpSpPr>
      </xdr:nvGrpSpPr>
      <xdr:grpSpPr bwMode="auto">
        <a:xfrm>
          <a:off x="7412355" y="20086320"/>
          <a:ext cx="2964180" cy="474345"/>
          <a:chOff x="79" y="968"/>
          <a:chExt cx="303" cy="36"/>
        </a:xfrm>
      </xdr:grpSpPr>
      <xdr:sp macro="" textlink="">
        <xdr:nvSpPr>
          <xdr:cNvPr id="8" name="Line 237">
            <a:extLst>
              <a:ext uri="{FF2B5EF4-FFF2-40B4-BE49-F238E27FC236}">
                <a16:creationId xmlns:a16="http://schemas.microsoft.com/office/drawing/2014/main" id="{A59CB9CB-BD16-381B-1B6A-6E8945111860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241">
            <a:extLst>
              <a:ext uri="{FF2B5EF4-FFF2-40B4-BE49-F238E27FC236}">
                <a16:creationId xmlns:a16="http://schemas.microsoft.com/office/drawing/2014/main" id="{72204C6C-3BA6-757D-74BB-322B7BCE0C3A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42">
            <a:extLst>
              <a:ext uri="{FF2B5EF4-FFF2-40B4-BE49-F238E27FC236}">
                <a16:creationId xmlns:a16="http://schemas.microsoft.com/office/drawing/2014/main" id="{1A96C19D-7867-5DF3-7F7B-D360E3E6C0FD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243">
            <a:extLst>
              <a:ext uri="{FF2B5EF4-FFF2-40B4-BE49-F238E27FC236}">
                <a16:creationId xmlns:a16="http://schemas.microsoft.com/office/drawing/2014/main" id="{F75B6BB9-D0B3-CE4C-64C1-B72C482FFA60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44">
            <a:extLst>
              <a:ext uri="{FF2B5EF4-FFF2-40B4-BE49-F238E27FC236}">
                <a16:creationId xmlns:a16="http://schemas.microsoft.com/office/drawing/2014/main" id="{E1D4111B-6004-0588-59EF-B67F7EC55207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47625</xdr:colOff>
      <xdr:row>36</xdr:row>
      <xdr:rowOff>38100</xdr:rowOff>
    </xdr:from>
    <xdr:to>
      <xdr:col>10</xdr:col>
      <xdr:colOff>266700</xdr:colOff>
      <xdr:row>36</xdr:row>
      <xdr:rowOff>165735</xdr:rowOff>
    </xdr:to>
    <xdr:grpSp>
      <xdr:nvGrpSpPr>
        <xdr:cNvPr id="21" name="Group 232">
          <a:extLst>
            <a:ext uri="{FF2B5EF4-FFF2-40B4-BE49-F238E27FC236}">
              <a16:creationId xmlns:a16="http://schemas.microsoft.com/office/drawing/2014/main" id="{C6E71A93-C3D7-4578-A36A-8655B4BC55AD}"/>
            </a:ext>
          </a:extLst>
        </xdr:cNvPr>
        <xdr:cNvGrpSpPr>
          <a:grpSpLocks/>
        </xdr:cNvGrpSpPr>
      </xdr:nvGrpSpPr>
      <xdr:grpSpPr bwMode="auto">
        <a:xfrm>
          <a:off x="8246745" y="6530340"/>
          <a:ext cx="219075" cy="127635"/>
          <a:chOff x="304" y="241"/>
          <a:chExt cx="29" cy="29"/>
        </a:xfrm>
      </xdr:grpSpPr>
      <xdr:sp macro="" textlink="">
        <xdr:nvSpPr>
          <xdr:cNvPr id="22" name="Oval 233">
            <a:extLst>
              <a:ext uri="{FF2B5EF4-FFF2-40B4-BE49-F238E27FC236}">
                <a16:creationId xmlns:a16="http://schemas.microsoft.com/office/drawing/2014/main" id="{2925D6FC-DC3F-E24C-75D2-77963F6B5936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" name="AutoShape 234">
            <a:extLst>
              <a:ext uri="{FF2B5EF4-FFF2-40B4-BE49-F238E27FC236}">
                <a16:creationId xmlns:a16="http://schemas.microsoft.com/office/drawing/2014/main" id="{AB762BCC-BC02-4916-0B0C-ECF669C28C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7</xdr:col>
      <xdr:colOff>1135379</xdr:colOff>
      <xdr:row>35</xdr:row>
      <xdr:rowOff>144781</xdr:rowOff>
    </xdr:from>
    <xdr:to>
      <xdr:col>10</xdr:col>
      <xdr:colOff>15240</xdr:colOff>
      <xdr:row>37</xdr:row>
      <xdr:rowOff>7621</xdr:rowOff>
    </xdr:to>
    <xdr:sp macro="" textlink="">
      <xdr:nvSpPr>
        <xdr:cNvPr id="24" name="AutoShape 235">
          <a:extLst>
            <a:ext uri="{FF2B5EF4-FFF2-40B4-BE49-F238E27FC236}">
              <a16:creationId xmlns:a16="http://schemas.microsoft.com/office/drawing/2014/main" id="{D50F7795-9C8B-42E9-B2B3-1F724AF9D29C}"/>
            </a:ext>
          </a:extLst>
        </xdr:cNvPr>
        <xdr:cNvSpPr>
          <a:spLocks noChangeArrowheads="1"/>
        </xdr:cNvSpPr>
      </xdr:nvSpPr>
      <xdr:spPr bwMode="auto">
        <a:xfrm>
          <a:off x="6629399" y="6225541"/>
          <a:ext cx="1584961" cy="30480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63</xdr:row>
      <xdr:rowOff>38100</xdr:rowOff>
    </xdr:from>
    <xdr:to>
      <xdr:col>10</xdr:col>
      <xdr:colOff>266700</xdr:colOff>
      <xdr:row>63</xdr:row>
      <xdr:rowOff>165735</xdr:rowOff>
    </xdr:to>
    <xdr:grpSp>
      <xdr:nvGrpSpPr>
        <xdr:cNvPr id="25" name="Group 232">
          <a:extLst>
            <a:ext uri="{FF2B5EF4-FFF2-40B4-BE49-F238E27FC236}">
              <a16:creationId xmlns:a16="http://schemas.microsoft.com/office/drawing/2014/main" id="{FC80FE15-E557-41C3-998A-3AB6C1FFB22B}"/>
            </a:ext>
          </a:extLst>
        </xdr:cNvPr>
        <xdr:cNvGrpSpPr>
          <a:grpSpLocks/>
        </xdr:cNvGrpSpPr>
      </xdr:nvGrpSpPr>
      <xdr:grpSpPr bwMode="auto">
        <a:xfrm>
          <a:off x="8246745" y="11559540"/>
          <a:ext cx="219075" cy="127635"/>
          <a:chOff x="304" y="241"/>
          <a:chExt cx="29" cy="29"/>
        </a:xfrm>
      </xdr:grpSpPr>
      <xdr:sp macro="" textlink="">
        <xdr:nvSpPr>
          <xdr:cNvPr id="26" name="Oval 233">
            <a:extLst>
              <a:ext uri="{FF2B5EF4-FFF2-40B4-BE49-F238E27FC236}">
                <a16:creationId xmlns:a16="http://schemas.microsoft.com/office/drawing/2014/main" id="{3B0075E0-54A4-B6AC-75BF-21E03107B920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7" name="AutoShape 234">
            <a:extLst>
              <a:ext uri="{FF2B5EF4-FFF2-40B4-BE49-F238E27FC236}">
                <a16:creationId xmlns:a16="http://schemas.microsoft.com/office/drawing/2014/main" id="{955072AE-FCFA-418F-A3CF-E9313B3509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6</xdr:col>
      <xdr:colOff>251460</xdr:colOff>
      <xdr:row>62</xdr:row>
      <xdr:rowOff>91440</xdr:rowOff>
    </xdr:from>
    <xdr:to>
      <xdr:col>10</xdr:col>
      <xdr:colOff>9525</xdr:colOff>
      <xdr:row>64</xdr:row>
      <xdr:rowOff>47625</xdr:rowOff>
    </xdr:to>
    <xdr:sp macro="" textlink="">
      <xdr:nvSpPr>
        <xdr:cNvPr id="28" name="AutoShape 235">
          <a:extLst>
            <a:ext uri="{FF2B5EF4-FFF2-40B4-BE49-F238E27FC236}">
              <a16:creationId xmlns:a16="http://schemas.microsoft.com/office/drawing/2014/main" id="{10FB5C0F-9E6C-44A7-A77A-F7E80371A8B5}"/>
            </a:ext>
          </a:extLst>
        </xdr:cNvPr>
        <xdr:cNvSpPr>
          <a:spLocks noChangeArrowheads="1"/>
        </xdr:cNvSpPr>
      </xdr:nvSpPr>
      <xdr:spPr bwMode="auto">
        <a:xfrm>
          <a:off x="4960620" y="11079480"/>
          <a:ext cx="3248025" cy="40576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10</xdr:col>
      <xdr:colOff>47625</xdr:colOff>
      <xdr:row>74</xdr:row>
      <xdr:rowOff>38100</xdr:rowOff>
    </xdr:from>
    <xdr:to>
      <xdr:col>10</xdr:col>
      <xdr:colOff>266700</xdr:colOff>
      <xdr:row>74</xdr:row>
      <xdr:rowOff>165735</xdr:rowOff>
    </xdr:to>
    <xdr:grpSp>
      <xdr:nvGrpSpPr>
        <xdr:cNvPr id="29" name="Group 232">
          <a:extLst>
            <a:ext uri="{FF2B5EF4-FFF2-40B4-BE49-F238E27FC236}">
              <a16:creationId xmlns:a16="http://schemas.microsoft.com/office/drawing/2014/main" id="{45213982-A360-4BD3-B7EB-C9A28B9D076B}"/>
            </a:ext>
          </a:extLst>
        </xdr:cNvPr>
        <xdr:cNvGrpSpPr>
          <a:grpSpLocks/>
        </xdr:cNvGrpSpPr>
      </xdr:nvGrpSpPr>
      <xdr:grpSpPr bwMode="auto">
        <a:xfrm>
          <a:off x="8246745" y="13548360"/>
          <a:ext cx="219075" cy="127635"/>
          <a:chOff x="304" y="241"/>
          <a:chExt cx="29" cy="29"/>
        </a:xfrm>
      </xdr:grpSpPr>
      <xdr:sp macro="" textlink="">
        <xdr:nvSpPr>
          <xdr:cNvPr id="30" name="Oval 233">
            <a:extLst>
              <a:ext uri="{FF2B5EF4-FFF2-40B4-BE49-F238E27FC236}">
                <a16:creationId xmlns:a16="http://schemas.microsoft.com/office/drawing/2014/main" id="{C14AFBE2-8392-4E74-1CD9-3FDB5CC50AF1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AutoShape 234">
            <a:extLst>
              <a:ext uri="{FF2B5EF4-FFF2-40B4-BE49-F238E27FC236}">
                <a16:creationId xmlns:a16="http://schemas.microsoft.com/office/drawing/2014/main" id="{6C943BDD-1A20-D283-C056-988BC07E70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5</xdr:col>
      <xdr:colOff>754380</xdr:colOff>
      <xdr:row>73</xdr:row>
      <xdr:rowOff>150495</xdr:rowOff>
    </xdr:from>
    <xdr:to>
      <xdr:col>9</xdr:col>
      <xdr:colOff>748665</xdr:colOff>
      <xdr:row>75</xdr:row>
      <xdr:rowOff>55245</xdr:rowOff>
    </xdr:to>
    <xdr:sp macro="" textlink="">
      <xdr:nvSpPr>
        <xdr:cNvPr id="32" name="AutoShape 235">
          <a:extLst>
            <a:ext uri="{FF2B5EF4-FFF2-40B4-BE49-F238E27FC236}">
              <a16:creationId xmlns:a16="http://schemas.microsoft.com/office/drawing/2014/main" id="{6A4421EE-5D7E-4F61-8CE5-E2C2B22129E2}"/>
            </a:ext>
          </a:extLst>
        </xdr:cNvPr>
        <xdr:cNvSpPr>
          <a:spLocks noChangeArrowheads="1"/>
        </xdr:cNvSpPr>
      </xdr:nvSpPr>
      <xdr:spPr bwMode="auto">
        <a:xfrm>
          <a:off x="4678680" y="13127355"/>
          <a:ext cx="3484245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85</xdr:row>
      <xdr:rowOff>38100</xdr:rowOff>
    </xdr:from>
    <xdr:to>
      <xdr:col>10</xdr:col>
      <xdr:colOff>266700</xdr:colOff>
      <xdr:row>85</xdr:row>
      <xdr:rowOff>165735</xdr:rowOff>
    </xdr:to>
    <xdr:grpSp>
      <xdr:nvGrpSpPr>
        <xdr:cNvPr id="33" name="Group 232">
          <a:extLst>
            <a:ext uri="{FF2B5EF4-FFF2-40B4-BE49-F238E27FC236}">
              <a16:creationId xmlns:a16="http://schemas.microsoft.com/office/drawing/2014/main" id="{D99AE5EC-4081-4EC4-BB44-E54E1987C277}"/>
            </a:ext>
          </a:extLst>
        </xdr:cNvPr>
        <xdr:cNvGrpSpPr>
          <a:grpSpLocks/>
        </xdr:cNvGrpSpPr>
      </xdr:nvGrpSpPr>
      <xdr:grpSpPr bwMode="auto">
        <a:xfrm>
          <a:off x="8246745" y="15590520"/>
          <a:ext cx="219075" cy="127635"/>
          <a:chOff x="304" y="241"/>
          <a:chExt cx="29" cy="29"/>
        </a:xfrm>
      </xdr:grpSpPr>
      <xdr:sp macro="" textlink="">
        <xdr:nvSpPr>
          <xdr:cNvPr id="34" name="Oval 233">
            <a:extLst>
              <a:ext uri="{FF2B5EF4-FFF2-40B4-BE49-F238E27FC236}">
                <a16:creationId xmlns:a16="http://schemas.microsoft.com/office/drawing/2014/main" id="{CFE2AC76-C966-8649-FE7C-7379D3F1BC2A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5" name="AutoShape 234">
            <a:extLst>
              <a:ext uri="{FF2B5EF4-FFF2-40B4-BE49-F238E27FC236}">
                <a16:creationId xmlns:a16="http://schemas.microsoft.com/office/drawing/2014/main" id="{042F584C-BE01-E9B8-9AF0-D08E10121A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10</xdr:col>
      <xdr:colOff>47625</xdr:colOff>
      <xdr:row>98</xdr:row>
      <xdr:rowOff>38100</xdr:rowOff>
    </xdr:from>
    <xdr:to>
      <xdr:col>10</xdr:col>
      <xdr:colOff>266700</xdr:colOff>
      <xdr:row>98</xdr:row>
      <xdr:rowOff>165735</xdr:rowOff>
    </xdr:to>
    <xdr:grpSp>
      <xdr:nvGrpSpPr>
        <xdr:cNvPr id="37" name="Group 232">
          <a:extLst>
            <a:ext uri="{FF2B5EF4-FFF2-40B4-BE49-F238E27FC236}">
              <a16:creationId xmlns:a16="http://schemas.microsoft.com/office/drawing/2014/main" id="{01057065-B832-440C-8502-224D4BF9C974}"/>
            </a:ext>
          </a:extLst>
        </xdr:cNvPr>
        <xdr:cNvGrpSpPr>
          <a:grpSpLocks/>
        </xdr:cNvGrpSpPr>
      </xdr:nvGrpSpPr>
      <xdr:grpSpPr bwMode="auto">
        <a:xfrm>
          <a:off x="8246745" y="17914620"/>
          <a:ext cx="219075" cy="127635"/>
          <a:chOff x="304" y="241"/>
          <a:chExt cx="29" cy="29"/>
        </a:xfrm>
      </xdr:grpSpPr>
      <xdr:sp macro="" textlink="">
        <xdr:nvSpPr>
          <xdr:cNvPr id="38" name="Oval 233">
            <a:extLst>
              <a:ext uri="{FF2B5EF4-FFF2-40B4-BE49-F238E27FC236}">
                <a16:creationId xmlns:a16="http://schemas.microsoft.com/office/drawing/2014/main" id="{88663569-8FA2-1B28-20B7-2F61B108483A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9" name="AutoShape 234">
            <a:extLst>
              <a:ext uri="{FF2B5EF4-FFF2-40B4-BE49-F238E27FC236}">
                <a16:creationId xmlns:a16="http://schemas.microsoft.com/office/drawing/2014/main" id="{638524D1-50DC-D1EF-39DC-2055193D7B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</xdr:col>
      <xdr:colOff>114299</xdr:colOff>
      <xdr:row>97</xdr:row>
      <xdr:rowOff>198119</xdr:rowOff>
    </xdr:from>
    <xdr:to>
      <xdr:col>10</xdr:col>
      <xdr:colOff>9524</xdr:colOff>
      <xdr:row>99</xdr:row>
      <xdr:rowOff>47624</xdr:rowOff>
    </xdr:to>
    <xdr:sp macro="" textlink="">
      <xdr:nvSpPr>
        <xdr:cNvPr id="40" name="AutoShape 235">
          <a:extLst>
            <a:ext uri="{FF2B5EF4-FFF2-40B4-BE49-F238E27FC236}">
              <a16:creationId xmlns:a16="http://schemas.microsoft.com/office/drawing/2014/main" id="{6C032A2C-A9EB-424F-99E8-C374C9CEFBEE}"/>
            </a:ext>
          </a:extLst>
        </xdr:cNvPr>
        <xdr:cNvSpPr>
          <a:spLocks noChangeArrowheads="1"/>
        </xdr:cNvSpPr>
      </xdr:nvSpPr>
      <xdr:spPr bwMode="auto">
        <a:xfrm>
          <a:off x="899159" y="17541239"/>
          <a:ext cx="7309485" cy="291465"/>
        </a:xfrm>
        <a:prstGeom prst="rightArrow">
          <a:avLst>
            <a:gd name="adj1" fmla="val 53187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0</xdr:colOff>
      <xdr:row>63</xdr:row>
      <xdr:rowOff>0</xdr:rowOff>
    </xdr:from>
    <xdr:to>
      <xdr:col>27</xdr:col>
      <xdr:colOff>28575</xdr:colOff>
      <xdr:row>65</xdr:row>
      <xdr:rowOff>87630</xdr:rowOff>
    </xdr:to>
    <xdr:grpSp>
      <xdr:nvGrpSpPr>
        <xdr:cNvPr id="46" name="Group 256">
          <a:extLst>
            <a:ext uri="{FF2B5EF4-FFF2-40B4-BE49-F238E27FC236}">
              <a16:creationId xmlns:a16="http://schemas.microsoft.com/office/drawing/2014/main" id="{83C26F9E-C7F4-43C0-AA78-16A6192A2FE4}"/>
            </a:ext>
          </a:extLst>
        </xdr:cNvPr>
        <xdr:cNvGrpSpPr>
          <a:grpSpLocks/>
        </xdr:cNvGrpSpPr>
      </xdr:nvGrpSpPr>
      <xdr:grpSpPr bwMode="auto">
        <a:xfrm>
          <a:off x="20894040" y="11521440"/>
          <a:ext cx="813435" cy="483870"/>
          <a:chOff x="267" y="335"/>
          <a:chExt cx="150" cy="88"/>
        </a:xfrm>
      </xdr:grpSpPr>
      <xdr:sp macro="" textlink="">
        <xdr:nvSpPr>
          <xdr:cNvPr id="47" name="Rectangle 257">
            <a:extLst>
              <a:ext uri="{FF2B5EF4-FFF2-40B4-BE49-F238E27FC236}">
                <a16:creationId xmlns:a16="http://schemas.microsoft.com/office/drawing/2014/main" id="{B8DCD2D4-789E-5350-B33A-A6809CB42EFF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48" name="AutoShape 258">
            <a:extLst>
              <a:ext uri="{FF2B5EF4-FFF2-40B4-BE49-F238E27FC236}">
                <a16:creationId xmlns:a16="http://schemas.microsoft.com/office/drawing/2014/main" id="{C81FD3B2-325C-1513-269C-B99DDD5348E3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9" name="AutoShape 259">
            <a:extLst>
              <a:ext uri="{FF2B5EF4-FFF2-40B4-BE49-F238E27FC236}">
                <a16:creationId xmlns:a16="http://schemas.microsoft.com/office/drawing/2014/main" id="{7D38A91B-4C1C-4E26-C5C1-1A13B615618E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0" name="AutoShape 260">
            <a:extLst>
              <a:ext uri="{FF2B5EF4-FFF2-40B4-BE49-F238E27FC236}">
                <a16:creationId xmlns:a16="http://schemas.microsoft.com/office/drawing/2014/main" id="{727BAB14-A127-5753-6E9A-06B21C1043E8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1" name="AutoShape 261">
            <a:extLst>
              <a:ext uri="{FF2B5EF4-FFF2-40B4-BE49-F238E27FC236}">
                <a16:creationId xmlns:a16="http://schemas.microsoft.com/office/drawing/2014/main" id="{A7C8CE4B-CABB-E81A-B9AF-8129CBBE5687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2" name="AutoShape 262">
            <a:extLst>
              <a:ext uri="{FF2B5EF4-FFF2-40B4-BE49-F238E27FC236}">
                <a16:creationId xmlns:a16="http://schemas.microsoft.com/office/drawing/2014/main" id="{BFF64196-1946-0F96-3BD0-7E71A54B78BF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3" name="AutoShape 263">
            <a:extLst>
              <a:ext uri="{FF2B5EF4-FFF2-40B4-BE49-F238E27FC236}">
                <a16:creationId xmlns:a16="http://schemas.microsoft.com/office/drawing/2014/main" id="{633E4FF0-1989-967E-A919-B7AAC82D08EF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26</xdr:col>
      <xdr:colOff>0</xdr:colOff>
      <xdr:row>77</xdr:row>
      <xdr:rowOff>0</xdr:rowOff>
    </xdr:from>
    <xdr:to>
      <xdr:col>27</xdr:col>
      <xdr:colOff>28575</xdr:colOff>
      <xdr:row>79</xdr:row>
      <xdr:rowOff>148590</xdr:rowOff>
    </xdr:to>
    <xdr:grpSp>
      <xdr:nvGrpSpPr>
        <xdr:cNvPr id="54" name="Group 256">
          <a:extLst>
            <a:ext uri="{FF2B5EF4-FFF2-40B4-BE49-F238E27FC236}">
              <a16:creationId xmlns:a16="http://schemas.microsoft.com/office/drawing/2014/main" id="{63FCDF37-580C-4897-98A9-165BDB19D7AB}"/>
            </a:ext>
          </a:extLst>
        </xdr:cNvPr>
        <xdr:cNvGrpSpPr>
          <a:grpSpLocks/>
        </xdr:cNvGrpSpPr>
      </xdr:nvGrpSpPr>
      <xdr:grpSpPr bwMode="auto">
        <a:xfrm>
          <a:off x="20894040" y="14135100"/>
          <a:ext cx="813435" cy="483870"/>
          <a:chOff x="267" y="335"/>
          <a:chExt cx="150" cy="88"/>
        </a:xfrm>
      </xdr:grpSpPr>
      <xdr:sp macro="" textlink="">
        <xdr:nvSpPr>
          <xdr:cNvPr id="55" name="Rectangle 257">
            <a:extLst>
              <a:ext uri="{FF2B5EF4-FFF2-40B4-BE49-F238E27FC236}">
                <a16:creationId xmlns:a16="http://schemas.microsoft.com/office/drawing/2014/main" id="{E8C72FA5-DAA5-0688-3B72-3CF0A12760C4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56" name="AutoShape 258">
            <a:extLst>
              <a:ext uri="{FF2B5EF4-FFF2-40B4-BE49-F238E27FC236}">
                <a16:creationId xmlns:a16="http://schemas.microsoft.com/office/drawing/2014/main" id="{58160F8B-468C-50DE-18D2-6F4AE3B946B2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7" name="AutoShape 259">
            <a:extLst>
              <a:ext uri="{FF2B5EF4-FFF2-40B4-BE49-F238E27FC236}">
                <a16:creationId xmlns:a16="http://schemas.microsoft.com/office/drawing/2014/main" id="{F4FE9E89-EAD6-0557-8F59-718A94BE229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8" name="AutoShape 260">
            <a:extLst>
              <a:ext uri="{FF2B5EF4-FFF2-40B4-BE49-F238E27FC236}">
                <a16:creationId xmlns:a16="http://schemas.microsoft.com/office/drawing/2014/main" id="{F71BDDD8-6D1C-F927-0813-AD871C0C9892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9" name="AutoShape 261">
            <a:extLst>
              <a:ext uri="{FF2B5EF4-FFF2-40B4-BE49-F238E27FC236}">
                <a16:creationId xmlns:a16="http://schemas.microsoft.com/office/drawing/2014/main" id="{F0AF777D-08E8-4C88-26F0-39409617DD94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0" name="AutoShape 262">
            <a:extLst>
              <a:ext uri="{FF2B5EF4-FFF2-40B4-BE49-F238E27FC236}">
                <a16:creationId xmlns:a16="http://schemas.microsoft.com/office/drawing/2014/main" id="{151FF5C6-328C-2D89-3514-E97A13BCDC8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1" name="AutoShape 263">
            <a:extLst>
              <a:ext uri="{FF2B5EF4-FFF2-40B4-BE49-F238E27FC236}">
                <a16:creationId xmlns:a16="http://schemas.microsoft.com/office/drawing/2014/main" id="{2F09FC07-AAB0-D244-945E-F374D530B020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26</xdr:col>
      <xdr:colOff>0</xdr:colOff>
      <xdr:row>90</xdr:row>
      <xdr:rowOff>0</xdr:rowOff>
    </xdr:from>
    <xdr:to>
      <xdr:col>27</xdr:col>
      <xdr:colOff>28575</xdr:colOff>
      <xdr:row>92</xdr:row>
      <xdr:rowOff>148590</xdr:rowOff>
    </xdr:to>
    <xdr:grpSp>
      <xdr:nvGrpSpPr>
        <xdr:cNvPr id="62" name="Group 256">
          <a:extLst>
            <a:ext uri="{FF2B5EF4-FFF2-40B4-BE49-F238E27FC236}">
              <a16:creationId xmlns:a16="http://schemas.microsoft.com/office/drawing/2014/main" id="{3E3FCA6F-B2F0-473A-96EB-659154B4E762}"/>
            </a:ext>
          </a:extLst>
        </xdr:cNvPr>
        <xdr:cNvGrpSpPr>
          <a:grpSpLocks/>
        </xdr:cNvGrpSpPr>
      </xdr:nvGrpSpPr>
      <xdr:grpSpPr bwMode="auto">
        <a:xfrm>
          <a:off x="20894040" y="16466820"/>
          <a:ext cx="813435" cy="483870"/>
          <a:chOff x="267" y="335"/>
          <a:chExt cx="150" cy="88"/>
        </a:xfrm>
      </xdr:grpSpPr>
      <xdr:sp macro="" textlink="">
        <xdr:nvSpPr>
          <xdr:cNvPr id="63" name="Rectangle 257">
            <a:extLst>
              <a:ext uri="{FF2B5EF4-FFF2-40B4-BE49-F238E27FC236}">
                <a16:creationId xmlns:a16="http://schemas.microsoft.com/office/drawing/2014/main" id="{A3972420-CC64-2EDE-BBB2-75A624F6D824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64" name="AutoShape 258">
            <a:extLst>
              <a:ext uri="{FF2B5EF4-FFF2-40B4-BE49-F238E27FC236}">
                <a16:creationId xmlns:a16="http://schemas.microsoft.com/office/drawing/2014/main" id="{DD2AEC8E-D9B6-0006-899F-6D8C546AFB2C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5" name="AutoShape 259">
            <a:extLst>
              <a:ext uri="{FF2B5EF4-FFF2-40B4-BE49-F238E27FC236}">
                <a16:creationId xmlns:a16="http://schemas.microsoft.com/office/drawing/2014/main" id="{B20CE0E9-062B-27C1-6F0C-C20F8D77CBC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6" name="AutoShape 260">
            <a:extLst>
              <a:ext uri="{FF2B5EF4-FFF2-40B4-BE49-F238E27FC236}">
                <a16:creationId xmlns:a16="http://schemas.microsoft.com/office/drawing/2014/main" id="{A597B285-CB90-0397-EF03-CB2EF502ADD0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7" name="AutoShape 261">
            <a:extLst>
              <a:ext uri="{FF2B5EF4-FFF2-40B4-BE49-F238E27FC236}">
                <a16:creationId xmlns:a16="http://schemas.microsoft.com/office/drawing/2014/main" id="{828C8B86-2CC8-52CC-8054-2D6BB337A42F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8" name="AutoShape 262">
            <a:extLst>
              <a:ext uri="{FF2B5EF4-FFF2-40B4-BE49-F238E27FC236}">
                <a16:creationId xmlns:a16="http://schemas.microsoft.com/office/drawing/2014/main" id="{BAF5D570-D2E9-6D7C-3CDD-8800836B283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9" name="AutoShape 263">
            <a:extLst>
              <a:ext uri="{FF2B5EF4-FFF2-40B4-BE49-F238E27FC236}">
                <a16:creationId xmlns:a16="http://schemas.microsoft.com/office/drawing/2014/main" id="{851E342F-2949-5FE3-EF75-6B9E14C3EB56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0</xdr:colOff>
      <xdr:row>2</xdr:row>
      <xdr:rowOff>0</xdr:rowOff>
    </xdr:from>
    <xdr:to>
      <xdr:col>13</xdr:col>
      <xdr:colOff>152400</xdr:colOff>
      <xdr:row>3</xdr:row>
      <xdr:rowOff>83820</xdr:rowOff>
    </xdr:to>
    <xdr:grpSp>
      <xdr:nvGrpSpPr>
        <xdr:cNvPr id="70" name="Group 3">
          <a:extLst>
            <a:ext uri="{FF2B5EF4-FFF2-40B4-BE49-F238E27FC236}">
              <a16:creationId xmlns:a16="http://schemas.microsoft.com/office/drawing/2014/main" id="{2822584D-7506-4D55-8334-D8B179330DA0}"/>
            </a:ext>
          </a:extLst>
        </xdr:cNvPr>
        <xdr:cNvGrpSpPr>
          <a:grpSpLocks/>
        </xdr:cNvGrpSpPr>
      </xdr:nvGrpSpPr>
      <xdr:grpSpPr bwMode="auto">
        <a:xfrm>
          <a:off x="10378440" y="449580"/>
          <a:ext cx="152400" cy="259080"/>
          <a:chOff x="572" y="516"/>
          <a:chExt cx="44" cy="130"/>
        </a:xfrm>
      </xdr:grpSpPr>
      <xdr:cxnSp macro="">
        <xdr:nvCxnSpPr>
          <xdr:cNvPr id="71" name="AutoShape 4">
            <a:extLst>
              <a:ext uri="{FF2B5EF4-FFF2-40B4-BE49-F238E27FC236}">
                <a16:creationId xmlns:a16="http://schemas.microsoft.com/office/drawing/2014/main" id="{C49D1BD1-FE58-8179-277B-BAEB117DA04F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614" y="517"/>
            <a:ext cx="1" cy="129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2" name="AutoShape 5">
            <a:extLst>
              <a:ext uri="{FF2B5EF4-FFF2-40B4-BE49-F238E27FC236}">
                <a16:creationId xmlns:a16="http://schemas.microsoft.com/office/drawing/2014/main" id="{0EAEDD84-CC0F-C96C-A4A4-B8975A0964E2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3" name="AutoShape 6">
            <a:extLst>
              <a:ext uri="{FF2B5EF4-FFF2-40B4-BE49-F238E27FC236}">
                <a16:creationId xmlns:a16="http://schemas.microsoft.com/office/drawing/2014/main" id="{99260A9F-05B4-FF02-7853-25BE449375C9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4" name="AutoShape 7">
            <a:extLst>
              <a:ext uri="{FF2B5EF4-FFF2-40B4-BE49-F238E27FC236}">
                <a16:creationId xmlns:a16="http://schemas.microsoft.com/office/drawing/2014/main" id="{30FA1A8B-20D0-7482-7A3A-4A293353AA05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58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5" name="AutoShape 8">
            <a:extLst>
              <a:ext uri="{FF2B5EF4-FFF2-40B4-BE49-F238E27FC236}">
                <a16:creationId xmlns:a16="http://schemas.microsoft.com/office/drawing/2014/main" id="{FF51FF9C-631A-7B78-D10C-B2A264AD018D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602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6" name="AutoShape 9">
            <a:extLst>
              <a:ext uri="{FF2B5EF4-FFF2-40B4-BE49-F238E27FC236}">
                <a16:creationId xmlns:a16="http://schemas.microsoft.com/office/drawing/2014/main" id="{FBD8D999-7C01-3B1E-B9DC-D20D8BCBB0D7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3" y="644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8</xdr:col>
      <xdr:colOff>685800</xdr:colOff>
      <xdr:row>4</xdr:row>
      <xdr:rowOff>0</xdr:rowOff>
    </xdr:from>
    <xdr:to>
      <xdr:col>10</xdr:col>
      <xdr:colOff>0</xdr:colOff>
      <xdr:row>5</xdr:row>
      <xdr:rowOff>99060</xdr:rowOff>
    </xdr:to>
    <xdr:grpSp>
      <xdr:nvGrpSpPr>
        <xdr:cNvPr id="77" name="Group 46">
          <a:extLst>
            <a:ext uri="{FF2B5EF4-FFF2-40B4-BE49-F238E27FC236}">
              <a16:creationId xmlns:a16="http://schemas.microsoft.com/office/drawing/2014/main" id="{64B35492-364C-48AA-AD5C-D4E9A86C31FC}"/>
            </a:ext>
          </a:extLst>
        </xdr:cNvPr>
        <xdr:cNvGrpSpPr>
          <a:grpSpLocks/>
        </xdr:cNvGrpSpPr>
      </xdr:nvGrpSpPr>
      <xdr:grpSpPr bwMode="auto">
        <a:xfrm flipH="1">
          <a:off x="7315200" y="792480"/>
          <a:ext cx="883920" cy="266700"/>
          <a:chOff x="216" y="418"/>
          <a:chExt cx="71" cy="51"/>
        </a:xfrm>
      </xdr:grpSpPr>
      <xdr:sp macro="" textlink="">
        <xdr:nvSpPr>
          <xdr:cNvPr id="78" name="Rectangle 47">
            <a:extLst>
              <a:ext uri="{FF2B5EF4-FFF2-40B4-BE49-F238E27FC236}">
                <a16:creationId xmlns:a16="http://schemas.microsoft.com/office/drawing/2014/main" id="{B01A8500-8F14-7BC5-279B-B2A3A2034406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9" name="Rectangle 48">
            <a:extLst>
              <a:ext uri="{FF2B5EF4-FFF2-40B4-BE49-F238E27FC236}">
                <a16:creationId xmlns:a16="http://schemas.microsoft.com/office/drawing/2014/main" id="{C5B19266-7599-A23B-7704-A12E742003FC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0" name="AutoShape 49">
            <a:extLst>
              <a:ext uri="{FF2B5EF4-FFF2-40B4-BE49-F238E27FC236}">
                <a16:creationId xmlns:a16="http://schemas.microsoft.com/office/drawing/2014/main" id="{B21840DA-3F63-B916-69C5-E88BFDE0FCEB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1" name="AutoShape 50">
            <a:extLst>
              <a:ext uri="{FF2B5EF4-FFF2-40B4-BE49-F238E27FC236}">
                <a16:creationId xmlns:a16="http://schemas.microsoft.com/office/drawing/2014/main" id="{D255A395-E331-7D70-7CEF-EC0B3FFA89B3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2" name="AutoShape 51">
            <a:extLst>
              <a:ext uri="{FF2B5EF4-FFF2-40B4-BE49-F238E27FC236}">
                <a16:creationId xmlns:a16="http://schemas.microsoft.com/office/drawing/2014/main" id="{B55B7E81-3A91-C59C-9962-96EE2F3FB45F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3" name="AutoShape 52">
            <a:extLst>
              <a:ext uri="{FF2B5EF4-FFF2-40B4-BE49-F238E27FC236}">
                <a16:creationId xmlns:a16="http://schemas.microsoft.com/office/drawing/2014/main" id="{9F9DEC08-5223-E5FA-84AB-B26EA94D5C6D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4" name="AutoShape 53">
            <a:extLst>
              <a:ext uri="{FF2B5EF4-FFF2-40B4-BE49-F238E27FC236}">
                <a16:creationId xmlns:a16="http://schemas.microsoft.com/office/drawing/2014/main" id="{EA1C80B7-FD4E-5D60-33AF-F658FCC7A068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333375</xdr:colOff>
      <xdr:row>5</xdr:row>
      <xdr:rowOff>34290</xdr:rowOff>
    </xdr:to>
    <xdr:grpSp>
      <xdr:nvGrpSpPr>
        <xdr:cNvPr id="85" name="Group 39">
          <a:extLst>
            <a:ext uri="{FF2B5EF4-FFF2-40B4-BE49-F238E27FC236}">
              <a16:creationId xmlns:a16="http://schemas.microsoft.com/office/drawing/2014/main" id="{25052ED7-FFEC-42EC-9F13-D02BF5CB42C1}"/>
            </a:ext>
          </a:extLst>
        </xdr:cNvPr>
        <xdr:cNvGrpSpPr>
          <a:grpSpLocks/>
        </xdr:cNvGrpSpPr>
      </xdr:nvGrpSpPr>
      <xdr:grpSpPr bwMode="auto">
        <a:xfrm>
          <a:off x="10378440" y="792480"/>
          <a:ext cx="333375" cy="201930"/>
          <a:chOff x="320" y="533"/>
          <a:chExt cx="52" cy="52"/>
        </a:xfrm>
      </xdr:grpSpPr>
      <xdr:sp macro="" textlink="">
        <xdr:nvSpPr>
          <xdr:cNvPr id="86" name="Rectangle 40">
            <a:extLst>
              <a:ext uri="{FF2B5EF4-FFF2-40B4-BE49-F238E27FC236}">
                <a16:creationId xmlns:a16="http://schemas.microsoft.com/office/drawing/2014/main" id="{DBB958FD-700B-185A-E7B7-B88EC0ADB9A7}"/>
              </a:ext>
            </a:extLst>
          </xdr:cNvPr>
          <xdr:cNvSpPr>
            <a:spLocks noChangeArrowheads="1"/>
          </xdr:cNvSpPr>
        </xdr:nvSpPr>
        <xdr:spPr bwMode="auto">
          <a:xfrm>
            <a:off x="320" y="568"/>
            <a:ext cx="52" cy="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7" name="Rectangle 41">
            <a:extLst>
              <a:ext uri="{FF2B5EF4-FFF2-40B4-BE49-F238E27FC236}">
                <a16:creationId xmlns:a16="http://schemas.microsoft.com/office/drawing/2014/main" id="{C7DDD123-86DC-2512-D7CC-CF146457E738}"/>
              </a:ext>
            </a:extLst>
          </xdr:cNvPr>
          <xdr:cNvSpPr>
            <a:spLocks noChangeArrowheads="1"/>
          </xdr:cNvSpPr>
        </xdr:nvSpPr>
        <xdr:spPr bwMode="auto">
          <a:xfrm>
            <a:off x="320" y="533"/>
            <a:ext cx="8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8" name="AutoShape 42">
            <a:extLst>
              <a:ext uri="{FF2B5EF4-FFF2-40B4-BE49-F238E27FC236}">
                <a16:creationId xmlns:a16="http://schemas.microsoft.com/office/drawing/2014/main" id="{6FAC7C0C-86F8-762B-ABF7-CC85323EC92E}"/>
              </a:ext>
            </a:extLst>
          </xdr:cNvPr>
          <xdr:cNvSpPr>
            <a:spLocks noChangeArrowheads="1"/>
          </xdr:cNvSpPr>
        </xdr:nvSpPr>
        <xdr:spPr bwMode="auto">
          <a:xfrm>
            <a:off x="324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9" name="AutoShape 43">
            <a:extLst>
              <a:ext uri="{FF2B5EF4-FFF2-40B4-BE49-F238E27FC236}">
                <a16:creationId xmlns:a16="http://schemas.microsoft.com/office/drawing/2014/main" id="{232CADC0-61D4-3CD3-E626-249A8778D6A2}"/>
              </a:ext>
            </a:extLst>
          </xdr:cNvPr>
          <xdr:cNvSpPr>
            <a:spLocks noChangeArrowheads="1"/>
          </xdr:cNvSpPr>
        </xdr:nvSpPr>
        <xdr:spPr bwMode="auto">
          <a:xfrm>
            <a:off x="350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0" name="AutoShape 44">
            <a:extLst>
              <a:ext uri="{FF2B5EF4-FFF2-40B4-BE49-F238E27FC236}">
                <a16:creationId xmlns:a16="http://schemas.microsoft.com/office/drawing/2014/main" id="{4E94C489-D7EE-6D96-D119-4BB9FB3AF937}"/>
              </a:ext>
            </a:extLst>
          </xdr:cNvPr>
          <xdr:cNvSpPr>
            <a:spLocks noChangeArrowheads="1"/>
          </xdr:cNvSpPr>
        </xdr:nvSpPr>
        <xdr:spPr bwMode="auto">
          <a:xfrm>
            <a:off x="333" y="559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1" name="AutoShape 45">
            <a:extLst>
              <a:ext uri="{FF2B5EF4-FFF2-40B4-BE49-F238E27FC236}">
                <a16:creationId xmlns:a16="http://schemas.microsoft.com/office/drawing/2014/main" id="{5F5A3BA7-9930-F87B-4BB4-DFAB6524ACA5}"/>
              </a:ext>
            </a:extLst>
          </xdr:cNvPr>
          <xdr:cNvSpPr>
            <a:spLocks noChangeArrowheads="1"/>
          </xdr:cNvSpPr>
        </xdr:nvSpPr>
        <xdr:spPr bwMode="auto">
          <a:xfrm>
            <a:off x="333" y="552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0</xdr:colOff>
      <xdr:row>19</xdr:row>
      <xdr:rowOff>0</xdr:rowOff>
    </xdr:from>
    <xdr:to>
      <xdr:col>5</xdr:col>
      <xdr:colOff>99060</xdr:colOff>
      <xdr:row>20</xdr:row>
      <xdr:rowOff>99060</xdr:rowOff>
    </xdr:to>
    <xdr:grpSp>
      <xdr:nvGrpSpPr>
        <xdr:cNvPr id="92" name="Group 46">
          <a:extLst>
            <a:ext uri="{FF2B5EF4-FFF2-40B4-BE49-F238E27FC236}">
              <a16:creationId xmlns:a16="http://schemas.microsoft.com/office/drawing/2014/main" id="{A0BDE587-514C-4638-BFF0-1149DC777E41}"/>
            </a:ext>
          </a:extLst>
        </xdr:cNvPr>
        <xdr:cNvGrpSpPr>
          <a:grpSpLocks/>
        </xdr:cNvGrpSpPr>
      </xdr:nvGrpSpPr>
      <xdr:grpSpPr bwMode="auto">
        <a:xfrm flipH="1">
          <a:off x="2354580" y="3390900"/>
          <a:ext cx="1668780" cy="266700"/>
          <a:chOff x="216" y="418"/>
          <a:chExt cx="71" cy="51"/>
        </a:xfrm>
      </xdr:grpSpPr>
      <xdr:sp macro="" textlink="">
        <xdr:nvSpPr>
          <xdr:cNvPr id="93" name="Rectangle 47">
            <a:extLst>
              <a:ext uri="{FF2B5EF4-FFF2-40B4-BE49-F238E27FC236}">
                <a16:creationId xmlns:a16="http://schemas.microsoft.com/office/drawing/2014/main" id="{40C2FD4B-2A83-CFB7-CCD1-F3FB28DD2D5C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4" name="Rectangle 48">
            <a:extLst>
              <a:ext uri="{FF2B5EF4-FFF2-40B4-BE49-F238E27FC236}">
                <a16:creationId xmlns:a16="http://schemas.microsoft.com/office/drawing/2014/main" id="{E22D6122-CDF0-CCA5-0BE4-5BD5E757A363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5" name="AutoShape 49">
            <a:extLst>
              <a:ext uri="{FF2B5EF4-FFF2-40B4-BE49-F238E27FC236}">
                <a16:creationId xmlns:a16="http://schemas.microsoft.com/office/drawing/2014/main" id="{DF44E769-11CC-F784-E241-5E4FBEC716E2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6" name="AutoShape 50">
            <a:extLst>
              <a:ext uri="{FF2B5EF4-FFF2-40B4-BE49-F238E27FC236}">
                <a16:creationId xmlns:a16="http://schemas.microsoft.com/office/drawing/2014/main" id="{7639BCAE-E237-5A2F-43BD-9557BBE99F6D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7" name="AutoShape 51">
            <a:extLst>
              <a:ext uri="{FF2B5EF4-FFF2-40B4-BE49-F238E27FC236}">
                <a16:creationId xmlns:a16="http://schemas.microsoft.com/office/drawing/2014/main" id="{CC7C2B9A-4D81-68C4-C7DC-969BE73E3557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8" name="AutoShape 52">
            <a:extLst>
              <a:ext uri="{FF2B5EF4-FFF2-40B4-BE49-F238E27FC236}">
                <a16:creationId xmlns:a16="http://schemas.microsoft.com/office/drawing/2014/main" id="{60EBEF24-2625-F8C8-A490-4048F3C7D94E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9" name="AutoShape 53">
            <a:extLst>
              <a:ext uri="{FF2B5EF4-FFF2-40B4-BE49-F238E27FC236}">
                <a16:creationId xmlns:a16="http://schemas.microsoft.com/office/drawing/2014/main" id="{C7A00D67-6BC1-BFF4-061F-0FD8A8704AFB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15</xdr:col>
      <xdr:colOff>0</xdr:colOff>
      <xdr:row>55</xdr:row>
      <xdr:rowOff>114300</xdr:rowOff>
    </xdr:from>
    <xdr:to>
      <xdr:col>15</xdr:col>
      <xdr:colOff>614082</xdr:colOff>
      <xdr:row>71</xdr:row>
      <xdr:rowOff>38100</xdr:rowOff>
    </xdr:to>
    <xdr:pic>
      <xdr:nvPicPr>
        <xdr:cNvPr id="101" name="Picture 94">
          <a:extLst>
            <a:ext uri="{FF2B5EF4-FFF2-40B4-BE49-F238E27FC236}">
              <a16:creationId xmlns:a16="http://schemas.microsoft.com/office/drawing/2014/main" id="{EC63B920-C487-47B3-B8F5-500AB18FE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9921240"/>
          <a:ext cx="614082" cy="2994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425824</xdr:colOff>
      <xdr:row>91</xdr:row>
      <xdr:rowOff>45720</xdr:rowOff>
    </xdr:to>
    <xdr:pic>
      <xdr:nvPicPr>
        <xdr:cNvPr id="102" name="Picture 94">
          <a:extLst>
            <a:ext uri="{FF2B5EF4-FFF2-40B4-BE49-F238E27FC236}">
              <a16:creationId xmlns:a16="http://schemas.microsoft.com/office/drawing/2014/main" id="{8FFD0E20-FD34-43B4-8DF4-F4113BBD5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15643860"/>
          <a:ext cx="425824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0</xdr:colOff>
      <xdr:row>77</xdr:row>
      <xdr:rowOff>0</xdr:rowOff>
    </xdr:from>
    <xdr:to>
      <xdr:col>18</xdr:col>
      <xdr:colOff>434340</xdr:colOff>
      <xdr:row>81</xdr:row>
      <xdr:rowOff>67818</xdr:rowOff>
    </xdr:to>
    <xdr:pic>
      <xdr:nvPicPr>
        <xdr:cNvPr id="103" name="Picture 94">
          <a:extLst>
            <a:ext uri="{FF2B5EF4-FFF2-40B4-BE49-F238E27FC236}">
              <a16:creationId xmlns:a16="http://schemas.microsoft.com/office/drawing/2014/main" id="{26FD80A0-8E7C-492B-B237-7E759D350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02740" y="13830300"/>
          <a:ext cx="434340" cy="738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114300</xdr:colOff>
      <xdr:row>4</xdr:row>
      <xdr:rowOff>60960</xdr:rowOff>
    </xdr:from>
    <xdr:to>
      <xdr:col>14</xdr:col>
      <xdr:colOff>476250</xdr:colOff>
      <xdr:row>5</xdr:row>
      <xdr:rowOff>102870</xdr:rowOff>
    </xdr:to>
    <xdr:grpSp>
      <xdr:nvGrpSpPr>
        <xdr:cNvPr id="104" name="Group 60">
          <a:extLst>
            <a:ext uri="{FF2B5EF4-FFF2-40B4-BE49-F238E27FC236}">
              <a16:creationId xmlns:a16="http://schemas.microsoft.com/office/drawing/2014/main" id="{12CF58B7-6A5E-42DA-A1D9-5DC16CC73D28}"/>
            </a:ext>
          </a:extLst>
        </xdr:cNvPr>
        <xdr:cNvGrpSpPr>
          <a:grpSpLocks/>
        </xdr:cNvGrpSpPr>
      </xdr:nvGrpSpPr>
      <xdr:grpSpPr bwMode="auto">
        <a:xfrm>
          <a:off x="11277600" y="853440"/>
          <a:ext cx="361950" cy="209550"/>
          <a:chOff x="1860" y="222"/>
          <a:chExt cx="159" cy="139"/>
        </a:xfrm>
      </xdr:grpSpPr>
      <xdr:sp macro="" textlink="">
        <xdr:nvSpPr>
          <xdr:cNvPr id="105" name="AutoShape 61">
            <a:extLst>
              <a:ext uri="{FF2B5EF4-FFF2-40B4-BE49-F238E27FC236}">
                <a16:creationId xmlns:a16="http://schemas.microsoft.com/office/drawing/2014/main" id="{32CF0915-994E-4DB3-87CE-DF1C3F205AE2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6" name="Line 62">
            <a:extLst>
              <a:ext uri="{FF2B5EF4-FFF2-40B4-BE49-F238E27FC236}">
                <a16:creationId xmlns:a16="http://schemas.microsoft.com/office/drawing/2014/main" id="{5C653354-71DA-8434-74DB-B807B85F7BBA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7" name="Line 63">
            <a:extLst>
              <a:ext uri="{FF2B5EF4-FFF2-40B4-BE49-F238E27FC236}">
                <a16:creationId xmlns:a16="http://schemas.microsoft.com/office/drawing/2014/main" id="{74888879-3AA7-DA75-FC17-5AD0B94CB7AA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8" name="Line 64">
            <a:extLst>
              <a:ext uri="{FF2B5EF4-FFF2-40B4-BE49-F238E27FC236}">
                <a16:creationId xmlns:a16="http://schemas.microsoft.com/office/drawing/2014/main" id="{D4E6C91E-7635-1881-848E-F5B3BA8C50F4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</xdr:col>
      <xdr:colOff>0</xdr:colOff>
      <xdr:row>98</xdr:row>
      <xdr:rowOff>0</xdr:rowOff>
    </xdr:from>
    <xdr:to>
      <xdr:col>13</xdr:col>
      <xdr:colOff>0</xdr:colOff>
      <xdr:row>99</xdr:row>
      <xdr:rowOff>125730</xdr:rowOff>
    </xdr:to>
    <xdr:sp macro="" textlink="">
      <xdr:nvSpPr>
        <xdr:cNvPr id="115" name="AutoShape 235">
          <a:extLst>
            <a:ext uri="{FF2B5EF4-FFF2-40B4-BE49-F238E27FC236}">
              <a16:creationId xmlns:a16="http://schemas.microsoft.com/office/drawing/2014/main" id="{3840A1D8-2139-4E4A-BA5D-E09AEE64773C}"/>
            </a:ext>
          </a:extLst>
        </xdr:cNvPr>
        <xdr:cNvSpPr>
          <a:spLocks noChangeArrowheads="1"/>
        </xdr:cNvSpPr>
      </xdr:nvSpPr>
      <xdr:spPr bwMode="auto">
        <a:xfrm>
          <a:off x="9593580" y="17564100"/>
          <a:ext cx="7848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455295</xdr:colOff>
      <xdr:row>80</xdr:row>
      <xdr:rowOff>106680</xdr:rowOff>
    </xdr:from>
    <xdr:to>
      <xdr:col>13</xdr:col>
      <xdr:colOff>17145</xdr:colOff>
      <xdr:row>99</xdr:row>
      <xdr:rowOff>17145</xdr:rowOff>
    </xdr:to>
    <xdr:sp macro="" textlink="">
      <xdr:nvSpPr>
        <xdr:cNvPr id="116" name="AutoShape 235">
          <a:extLst>
            <a:ext uri="{FF2B5EF4-FFF2-40B4-BE49-F238E27FC236}">
              <a16:creationId xmlns:a16="http://schemas.microsoft.com/office/drawing/2014/main" id="{FA37119E-573C-465A-AF97-4513F76ABCA4}"/>
            </a:ext>
          </a:extLst>
        </xdr:cNvPr>
        <xdr:cNvSpPr>
          <a:spLocks noChangeArrowheads="1"/>
        </xdr:cNvSpPr>
      </xdr:nvSpPr>
      <xdr:spPr bwMode="auto">
        <a:xfrm rot="16200000">
          <a:off x="8541067" y="15947708"/>
          <a:ext cx="336232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594360</xdr:colOff>
      <xdr:row>80</xdr:row>
      <xdr:rowOff>60960</xdr:rowOff>
    </xdr:from>
    <xdr:to>
      <xdr:col>13</xdr:col>
      <xdr:colOff>754380</xdr:colOff>
      <xdr:row>82</xdr:row>
      <xdr:rowOff>72390</xdr:rowOff>
    </xdr:to>
    <xdr:sp macro="" textlink="">
      <xdr:nvSpPr>
        <xdr:cNvPr id="117" name="AutoShape 235">
          <a:extLst>
            <a:ext uri="{FF2B5EF4-FFF2-40B4-BE49-F238E27FC236}">
              <a16:creationId xmlns:a16="http://schemas.microsoft.com/office/drawing/2014/main" id="{469F9EFB-CE26-4507-BF86-0D7580620BBA}"/>
            </a:ext>
          </a:extLst>
        </xdr:cNvPr>
        <xdr:cNvSpPr>
          <a:spLocks noChangeArrowheads="1"/>
        </xdr:cNvSpPr>
      </xdr:nvSpPr>
      <xdr:spPr bwMode="auto">
        <a:xfrm>
          <a:off x="10187940" y="14394180"/>
          <a:ext cx="94488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88</xdr:row>
      <xdr:rowOff>0</xdr:rowOff>
    </xdr:from>
    <xdr:to>
      <xdr:col>13</xdr:col>
      <xdr:colOff>0</xdr:colOff>
      <xdr:row>90</xdr:row>
      <xdr:rowOff>3810</xdr:rowOff>
    </xdr:to>
    <xdr:sp macro="" textlink="">
      <xdr:nvSpPr>
        <xdr:cNvPr id="118" name="AutoShape 235">
          <a:extLst>
            <a:ext uri="{FF2B5EF4-FFF2-40B4-BE49-F238E27FC236}">
              <a16:creationId xmlns:a16="http://schemas.microsoft.com/office/drawing/2014/main" id="{8CD93A26-0903-4834-AB19-9EBC17B41955}"/>
            </a:ext>
          </a:extLst>
        </xdr:cNvPr>
        <xdr:cNvSpPr>
          <a:spLocks noChangeArrowheads="1"/>
        </xdr:cNvSpPr>
      </xdr:nvSpPr>
      <xdr:spPr bwMode="auto">
        <a:xfrm>
          <a:off x="9593580" y="15811500"/>
          <a:ext cx="7848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75</xdr:row>
      <xdr:rowOff>0</xdr:rowOff>
    </xdr:from>
    <xdr:to>
      <xdr:col>13</xdr:col>
      <xdr:colOff>746760</xdr:colOff>
      <xdr:row>77</xdr:row>
      <xdr:rowOff>3810</xdr:rowOff>
    </xdr:to>
    <xdr:sp macro="" textlink="">
      <xdr:nvSpPr>
        <xdr:cNvPr id="119" name="AutoShape 235">
          <a:extLst>
            <a:ext uri="{FF2B5EF4-FFF2-40B4-BE49-F238E27FC236}">
              <a16:creationId xmlns:a16="http://schemas.microsoft.com/office/drawing/2014/main" id="{D34E8470-C349-4F06-8D60-D057EFD3BF33}"/>
            </a:ext>
          </a:extLst>
        </xdr:cNvPr>
        <xdr:cNvSpPr>
          <a:spLocks noChangeArrowheads="1"/>
        </xdr:cNvSpPr>
      </xdr:nvSpPr>
      <xdr:spPr bwMode="auto">
        <a:xfrm>
          <a:off x="9593580" y="13426440"/>
          <a:ext cx="1531620" cy="40767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15240</xdr:colOff>
      <xdr:row>62</xdr:row>
      <xdr:rowOff>175260</xdr:rowOff>
    </xdr:from>
    <xdr:to>
      <xdr:col>19</xdr:col>
      <xdr:colOff>731520</xdr:colOff>
      <xdr:row>64</xdr:row>
      <xdr:rowOff>144780</xdr:rowOff>
    </xdr:to>
    <xdr:sp macro="" textlink="">
      <xdr:nvSpPr>
        <xdr:cNvPr id="120" name="AutoShape 235">
          <a:extLst>
            <a:ext uri="{FF2B5EF4-FFF2-40B4-BE49-F238E27FC236}">
              <a16:creationId xmlns:a16="http://schemas.microsoft.com/office/drawing/2014/main" id="{495C20E8-115B-411B-92BD-012D2CD398CF}"/>
            </a:ext>
          </a:extLst>
        </xdr:cNvPr>
        <xdr:cNvSpPr>
          <a:spLocks noChangeArrowheads="1"/>
        </xdr:cNvSpPr>
      </xdr:nvSpPr>
      <xdr:spPr bwMode="auto">
        <a:xfrm>
          <a:off x="9608820" y="11468100"/>
          <a:ext cx="6210300" cy="41910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38</xdr:row>
      <xdr:rowOff>0</xdr:rowOff>
    </xdr:from>
    <xdr:to>
      <xdr:col>16</xdr:col>
      <xdr:colOff>723900</xdr:colOff>
      <xdr:row>40</xdr:row>
      <xdr:rowOff>11430</xdr:rowOff>
    </xdr:to>
    <xdr:sp macro="" textlink="">
      <xdr:nvSpPr>
        <xdr:cNvPr id="121" name="AutoShape 235">
          <a:extLst>
            <a:ext uri="{FF2B5EF4-FFF2-40B4-BE49-F238E27FC236}">
              <a16:creationId xmlns:a16="http://schemas.microsoft.com/office/drawing/2014/main" id="{3141D49C-E065-4DE8-AC00-97D313A94149}"/>
            </a:ext>
          </a:extLst>
        </xdr:cNvPr>
        <xdr:cNvSpPr>
          <a:spLocks noChangeArrowheads="1"/>
        </xdr:cNvSpPr>
      </xdr:nvSpPr>
      <xdr:spPr bwMode="auto">
        <a:xfrm>
          <a:off x="9593580" y="6697980"/>
          <a:ext cx="386334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381000</xdr:colOff>
      <xdr:row>38</xdr:row>
      <xdr:rowOff>139066</xdr:rowOff>
    </xdr:from>
    <xdr:to>
      <xdr:col>17</xdr:col>
      <xdr:colOff>62865</xdr:colOff>
      <xdr:row>46</xdr:row>
      <xdr:rowOff>0</xdr:rowOff>
    </xdr:to>
    <xdr:sp macro="" textlink="">
      <xdr:nvSpPr>
        <xdr:cNvPr id="122" name="AutoShape 235">
          <a:extLst>
            <a:ext uri="{FF2B5EF4-FFF2-40B4-BE49-F238E27FC236}">
              <a16:creationId xmlns:a16="http://schemas.microsoft.com/office/drawing/2014/main" id="{442EB773-39FA-4580-9112-E4646C9E1F57}"/>
            </a:ext>
          </a:extLst>
        </xdr:cNvPr>
        <xdr:cNvSpPr>
          <a:spLocks noChangeArrowheads="1"/>
        </xdr:cNvSpPr>
      </xdr:nvSpPr>
      <xdr:spPr bwMode="auto">
        <a:xfrm rot="5400000">
          <a:off x="12734926" y="7345680"/>
          <a:ext cx="1224914" cy="46672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243840</xdr:colOff>
      <xdr:row>43</xdr:row>
      <xdr:rowOff>0</xdr:rowOff>
    </xdr:from>
    <xdr:to>
      <xdr:col>6</xdr:col>
      <xdr:colOff>579120</xdr:colOff>
      <xdr:row>63</xdr:row>
      <xdr:rowOff>114300</xdr:rowOff>
    </xdr:to>
    <xdr:sp macro="" textlink="">
      <xdr:nvSpPr>
        <xdr:cNvPr id="124" name="AutoShape 235">
          <a:extLst>
            <a:ext uri="{FF2B5EF4-FFF2-40B4-BE49-F238E27FC236}">
              <a16:creationId xmlns:a16="http://schemas.microsoft.com/office/drawing/2014/main" id="{45CAC218-531E-415F-92C6-13F6DCD486A1}"/>
            </a:ext>
          </a:extLst>
        </xdr:cNvPr>
        <xdr:cNvSpPr>
          <a:spLocks noChangeArrowheads="1"/>
        </xdr:cNvSpPr>
      </xdr:nvSpPr>
      <xdr:spPr bwMode="auto">
        <a:xfrm rot="5400000">
          <a:off x="3227070" y="9269730"/>
          <a:ext cx="3787140" cy="33528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601980</xdr:colOff>
      <xdr:row>42</xdr:row>
      <xdr:rowOff>167640</xdr:rowOff>
    </xdr:from>
    <xdr:to>
      <xdr:col>6</xdr:col>
      <xdr:colOff>68580</xdr:colOff>
      <xdr:row>74</xdr:row>
      <xdr:rowOff>205740</xdr:rowOff>
    </xdr:to>
    <xdr:sp macro="" textlink="">
      <xdr:nvSpPr>
        <xdr:cNvPr id="125" name="AutoShape 235">
          <a:extLst>
            <a:ext uri="{FF2B5EF4-FFF2-40B4-BE49-F238E27FC236}">
              <a16:creationId xmlns:a16="http://schemas.microsoft.com/office/drawing/2014/main" id="{C7B26E6E-3624-4D39-9D1E-A5128B4BE3EF}"/>
            </a:ext>
          </a:extLst>
        </xdr:cNvPr>
        <xdr:cNvSpPr>
          <a:spLocks noChangeArrowheads="1"/>
        </xdr:cNvSpPr>
      </xdr:nvSpPr>
      <xdr:spPr bwMode="auto">
        <a:xfrm rot="5400000">
          <a:off x="1714500" y="10347960"/>
          <a:ext cx="5875020" cy="25146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731520</xdr:colOff>
      <xdr:row>43</xdr:row>
      <xdr:rowOff>53340</xdr:rowOff>
    </xdr:from>
    <xdr:to>
      <xdr:col>1</xdr:col>
      <xdr:colOff>449580</xdr:colOff>
      <xdr:row>98</xdr:row>
      <xdr:rowOff>144780</xdr:rowOff>
    </xdr:to>
    <xdr:sp macro="" textlink="">
      <xdr:nvSpPr>
        <xdr:cNvPr id="126" name="AutoShape 235">
          <a:extLst>
            <a:ext uri="{FF2B5EF4-FFF2-40B4-BE49-F238E27FC236}">
              <a16:creationId xmlns:a16="http://schemas.microsoft.com/office/drawing/2014/main" id="{62087154-1D77-4F02-8FB9-F04D851266E4}"/>
            </a:ext>
          </a:extLst>
        </xdr:cNvPr>
        <xdr:cNvSpPr>
          <a:spLocks noChangeArrowheads="1"/>
        </xdr:cNvSpPr>
      </xdr:nvSpPr>
      <xdr:spPr bwMode="auto">
        <a:xfrm rot="5400000">
          <a:off x="-4133850" y="12584430"/>
          <a:ext cx="10233660" cy="50292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22</xdr:col>
      <xdr:colOff>777240</xdr:colOff>
      <xdr:row>70</xdr:row>
      <xdr:rowOff>0</xdr:rowOff>
    </xdr:from>
    <xdr:to>
      <xdr:col>24</xdr:col>
      <xdr:colOff>769620</xdr:colOff>
      <xdr:row>71</xdr:row>
      <xdr:rowOff>53339</xdr:rowOff>
    </xdr:to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82A4A227-71A9-4A81-81D4-2A785B8CB236}"/>
            </a:ext>
          </a:extLst>
        </xdr:cNvPr>
        <xdr:cNvSpPr>
          <a:spLocks noChangeArrowheads="1"/>
        </xdr:cNvSpPr>
      </xdr:nvSpPr>
      <xdr:spPr bwMode="auto">
        <a:xfrm>
          <a:off x="18531840" y="12710160"/>
          <a:ext cx="1562100" cy="220979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84</xdr:row>
      <xdr:rowOff>1</xdr:rowOff>
    </xdr:from>
    <xdr:to>
      <xdr:col>24</xdr:col>
      <xdr:colOff>769620</xdr:colOff>
      <xdr:row>84</xdr:row>
      <xdr:rowOff>175261</xdr:rowOff>
    </xdr:to>
    <xdr:sp macro="" textlink="">
      <xdr:nvSpPr>
        <xdr:cNvPr id="128" name="AutoShape 2">
          <a:extLst>
            <a:ext uri="{FF2B5EF4-FFF2-40B4-BE49-F238E27FC236}">
              <a16:creationId xmlns:a16="http://schemas.microsoft.com/office/drawing/2014/main" id="{F17B7370-1EFF-4E8E-AF82-805CDF7EEFEC}"/>
            </a:ext>
          </a:extLst>
        </xdr:cNvPr>
        <xdr:cNvSpPr>
          <a:spLocks noChangeArrowheads="1"/>
        </xdr:cNvSpPr>
      </xdr:nvSpPr>
      <xdr:spPr bwMode="auto">
        <a:xfrm>
          <a:off x="16657320" y="15019021"/>
          <a:ext cx="769620" cy="1752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93</xdr:row>
      <xdr:rowOff>0</xdr:rowOff>
    </xdr:from>
    <xdr:to>
      <xdr:col>24</xdr:col>
      <xdr:colOff>769620</xdr:colOff>
      <xdr:row>94</xdr:row>
      <xdr:rowOff>38100</xdr:rowOff>
    </xdr:to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B197D8B4-1BE2-4A7B-8CF9-ACE17E4F16B2}"/>
            </a:ext>
          </a:extLst>
        </xdr:cNvPr>
        <xdr:cNvSpPr>
          <a:spLocks noChangeArrowheads="1"/>
        </xdr:cNvSpPr>
      </xdr:nvSpPr>
      <xdr:spPr bwMode="auto">
        <a:xfrm>
          <a:off x="16657320" y="16657320"/>
          <a:ext cx="769620" cy="2133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47625</xdr:colOff>
      <xdr:row>75</xdr:row>
      <xdr:rowOff>38100</xdr:rowOff>
    </xdr:from>
    <xdr:to>
      <xdr:col>14</xdr:col>
      <xdr:colOff>266700</xdr:colOff>
      <xdr:row>75</xdr:row>
      <xdr:rowOff>165735</xdr:rowOff>
    </xdr:to>
    <xdr:grpSp>
      <xdr:nvGrpSpPr>
        <xdr:cNvPr id="130" name="Group 232">
          <a:extLst>
            <a:ext uri="{FF2B5EF4-FFF2-40B4-BE49-F238E27FC236}">
              <a16:creationId xmlns:a16="http://schemas.microsoft.com/office/drawing/2014/main" id="{A6B0B28B-926B-4915-A630-3CE1DAF197E7}"/>
            </a:ext>
          </a:extLst>
        </xdr:cNvPr>
        <xdr:cNvGrpSpPr>
          <a:grpSpLocks/>
        </xdr:cNvGrpSpPr>
      </xdr:nvGrpSpPr>
      <xdr:grpSpPr bwMode="auto">
        <a:xfrm>
          <a:off x="11210925" y="13769340"/>
          <a:ext cx="219075" cy="127635"/>
          <a:chOff x="304" y="241"/>
          <a:chExt cx="29" cy="29"/>
        </a:xfrm>
      </xdr:grpSpPr>
      <xdr:sp macro="" textlink="">
        <xdr:nvSpPr>
          <xdr:cNvPr id="131" name="Oval 233">
            <a:extLst>
              <a:ext uri="{FF2B5EF4-FFF2-40B4-BE49-F238E27FC236}">
                <a16:creationId xmlns:a16="http://schemas.microsoft.com/office/drawing/2014/main" id="{70D7A6C5-7C1C-382B-D4BA-81DFE602BB99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2" name="AutoShape 234">
            <a:extLst>
              <a:ext uri="{FF2B5EF4-FFF2-40B4-BE49-F238E27FC236}">
                <a16:creationId xmlns:a16="http://schemas.microsoft.com/office/drawing/2014/main" id="{9C2AEAFB-398D-7A83-FB58-0399B92721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15</xdr:col>
      <xdr:colOff>772545</xdr:colOff>
      <xdr:row>74</xdr:row>
      <xdr:rowOff>346</xdr:rowOff>
    </xdr:from>
    <xdr:to>
      <xdr:col>24</xdr:col>
      <xdr:colOff>781233</xdr:colOff>
      <xdr:row>74</xdr:row>
      <xdr:rowOff>169713</xdr:rowOff>
    </xdr:to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A840D4A1-ADE1-4955-9220-9A2FB12B5700}"/>
            </a:ext>
          </a:extLst>
        </xdr:cNvPr>
        <xdr:cNvSpPr>
          <a:spLocks noChangeArrowheads="1"/>
        </xdr:cNvSpPr>
      </xdr:nvSpPr>
      <xdr:spPr bwMode="auto">
        <a:xfrm rot="21241643">
          <a:off x="12720705" y="13205806"/>
          <a:ext cx="4717848" cy="169367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783414</xdr:colOff>
      <xdr:row>77</xdr:row>
      <xdr:rowOff>8118</xdr:rowOff>
    </xdr:from>
    <xdr:to>
      <xdr:col>25</xdr:col>
      <xdr:colOff>19423</xdr:colOff>
      <xdr:row>78</xdr:row>
      <xdr:rowOff>40499</xdr:rowOff>
    </xdr:to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59A25F7E-ECFE-4CD7-883A-765C6227F46A}"/>
            </a:ext>
          </a:extLst>
        </xdr:cNvPr>
        <xdr:cNvSpPr>
          <a:spLocks noChangeArrowheads="1"/>
        </xdr:cNvSpPr>
      </xdr:nvSpPr>
      <xdr:spPr bwMode="auto">
        <a:xfrm rot="318807">
          <a:off x="12731574" y="13838418"/>
          <a:ext cx="4730029" cy="200021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648720</xdr:colOff>
      <xdr:row>85</xdr:row>
      <xdr:rowOff>160616</xdr:rowOff>
    </xdr:from>
    <xdr:to>
      <xdr:col>25</xdr:col>
      <xdr:colOff>186794</xdr:colOff>
      <xdr:row>86</xdr:row>
      <xdr:rowOff>156096</xdr:rowOff>
    </xdr:to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06926B6D-7606-4529-B318-13602097C98B}"/>
            </a:ext>
          </a:extLst>
        </xdr:cNvPr>
        <xdr:cNvSpPr>
          <a:spLocks noChangeArrowheads="1"/>
        </xdr:cNvSpPr>
      </xdr:nvSpPr>
      <xdr:spPr bwMode="auto">
        <a:xfrm rot="1272812">
          <a:off x="12596880" y="15408236"/>
          <a:ext cx="5032094" cy="2164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</xdr:colOff>
      <xdr:row>110</xdr:row>
      <xdr:rowOff>114300</xdr:rowOff>
    </xdr:from>
    <xdr:to>
      <xdr:col>21</xdr:col>
      <xdr:colOff>335280</xdr:colOff>
      <xdr:row>113</xdr:row>
      <xdr:rowOff>85725</xdr:rowOff>
    </xdr:to>
    <xdr:grpSp>
      <xdr:nvGrpSpPr>
        <xdr:cNvPr id="157" name="Group 245">
          <a:extLst>
            <a:ext uri="{FF2B5EF4-FFF2-40B4-BE49-F238E27FC236}">
              <a16:creationId xmlns:a16="http://schemas.microsoft.com/office/drawing/2014/main" id="{5CD3D7D1-9A18-40EA-80C7-58796310F506}"/>
            </a:ext>
          </a:extLst>
        </xdr:cNvPr>
        <xdr:cNvGrpSpPr>
          <a:grpSpLocks/>
        </xdr:cNvGrpSpPr>
      </xdr:nvGrpSpPr>
      <xdr:grpSpPr bwMode="auto">
        <a:xfrm>
          <a:off x="10393680" y="20078700"/>
          <a:ext cx="6598920" cy="474345"/>
          <a:chOff x="79" y="968"/>
          <a:chExt cx="303" cy="36"/>
        </a:xfrm>
      </xdr:grpSpPr>
      <xdr:sp macro="" textlink="">
        <xdr:nvSpPr>
          <xdr:cNvPr id="158" name="Line 237">
            <a:extLst>
              <a:ext uri="{FF2B5EF4-FFF2-40B4-BE49-F238E27FC236}">
                <a16:creationId xmlns:a16="http://schemas.microsoft.com/office/drawing/2014/main" id="{A1BFB92D-96D2-B637-5C26-27A48CE0E760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" name="Line 241">
            <a:extLst>
              <a:ext uri="{FF2B5EF4-FFF2-40B4-BE49-F238E27FC236}">
                <a16:creationId xmlns:a16="http://schemas.microsoft.com/office/drawing/2014/main" id="{8A21C41D-EC7C-2D33-8E1F-848F3AE7D386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Line 242">
            <a:extLst>
              <a:ext uri="{FF2B5EF4-FFF2-40B4-BE49-F238E27FC236}">
                <a16:creationId xmlns:a16="http://schemas.microsoft.com/office/drawing/2014/main" id="{13B6F849-5ED2-8455-7A5F-F0282088CE0A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" name="Line 243">
            <a:extLst>
              <a:ext uri="{FF2B5EF4-FFF2-40B4-BE49-F238E27FC236}">
                <a16:creationId xmlns:a16="http://schemas.microsoft.com/office/drawing/2014/main" id="{D7DD0D47-8569-E6CD-4EEB-72D45E2D41C7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" name="Line 244">
            <a:extLst>
              <a:ext uri="{FF2B5EF4-FFF2-40B4-BE49-F238E27FC236}">
                <a16:creationId xmlns:a16="http://schemas.microsoft.com/office/drawing/2014/main" id="{CA6E9AAC-CECD-6D1B-8130-B058B48FED1E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114300</xdr:colOff>
      <xdr:row>110</xdr:row>
      <xdr:rowOff>114300</xdr:rowOff>
    </xdr:from>
    <xdr:to>
      <xdr:col>25</xdr:col>
      <xdr:colOff>723900</xdr:colOff>
      <xdr:row>113</xdr:row>
      <xdr:rowOff>85725</xdr:rowOff>
    </xdr:to>
    <xdr:grpSp>
      <xdr:nvGrpSpPr>
        <xdr:cNvPr id="163" name="Group 245">
          <a:extLst>
            <a:ext uri="{FF2B5EF4-FFF2-40B4-BE49-F238E27FC236}">
              <a16:creationId xmlns:a16="http://schemas.microsoft.com/office/drawing/2014/main" id="{3AE6D961-B424-43AF-9626-E54EDCA4835F}"/>
            </a:ext>
          </a:extLst>
        </xdr:cNvPr>
        <xdr:cNvGrpSpPr>
          <a:grpSpLocks/>
        </xdr:cNvGrpSpPr>
      </xdr:nvGrpSpPr>
      <xdr:grpSpPr bwMode="auto">
        <a:xfrm>
          <a:off x="16771620" y="20078700"/>
          <a:ext cx="4061460" cy="474345"/>
          <a:chOff x="79" y="968"/>
          <a:chExt cx="303" cy="36"/>
        </a:xfrm>
      </xdr:grpSpPr>
      <xdr:sp macro="" textlink="">
        <xdr:nvSpPr>
          <xdr:cNvPr id="164" name="Line 237">
            <a:extLst>
              <a:ext uri="{FF2B5EF4-FFF2-40B4-BE49-F238E27FC236}">
                <a16:creationId xmlns:a16="http://schemas.microsoft.com/office/drawing/2014/main" id="{C6CC4E37-2C64-1A14-51D4-971216878267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" name="Line 241">
            <a:extLst>
              <a:ext uri="{FF2B5EF4-FFF2-40B4-BE49-F238E27FC236}">
                <a16:creationId xmlns:a16="http://schemas.microsoft.com/office/drawing/2014/main" id="{60F81EA3-CCD0-4B5C-9DD5-C7796369ED01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42">
            <a:extLst>
              <a:ext uri="{FF2B5EF4-FFF2-40B4-BE49-F238E27FC236}">
                <a16:creationId xmlns:a16="http://schemas.microsoft.com/office/drawing/2014/main" id="{FD9D8B8E-524D-92B7-BB66-65E7396B98EA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43">
            <a:extLst>
              <a:ext uri="{FF2B5EF4-FFF2-40B4-BE49-F238E27FC236}">
                <a16:creationId xmlns:a16="http://schemas.microsoft.com/office/drawing/2014/main" id="{9DFF06E4-2C1D-A2F0-4D1A-D4349F57C8A9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244">
            <a:extLst>
              <a:ext uri="{FF2B5EF4-FFF2-40B4-BE49-F238E27FC236}">
                <a16:creationId xmlns:a16="http://schemas.microsoft.com/office/drawing/2014/main" id="{29D2B948-5BF8-D635-D9F9-77E8F7A9D528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236220</xdr:colOff>
      <xdr:row>110</xdr:row>
      <xdr:rowOff>91440</xdr:rowOff>
    </xdr:from>
    <xdr:to>
      <xdr:col>9</xdr:col>
      <xdr:colOff>15240</xdr:colOff>
      <xdr:row>113</xdr:row>
      <xdr:rowOff>62865</xdr:rowOff>
    </xdr:to>
    <xdr:grpSp>
      <xdr:nvGrpSpPr>
        <xdr:cNvPr id="169" name="Group 245">
          <a:extLst>
            <a:ext uri="{FF2B5EF4-FFF2-40B4-BE49-F238E27FC236}">
              <a16:creationId xmlns:a16="http://schemas.microsoft.com/office/drawing/2014/main" id="{173C433B-984E-4FBA-9440-23507BCBC4D4}"/>
            </a:ext>
          </a:extLst>
        </xdr:cNvPr>
        <xdr:cNvGrpSpPr>
          <a:grpSpLocks/>
        </xdr:cNvGrpSpPr>
      </xdr:nvGrpSpPr>
      <xdr:grpSpPr bwMode="auto">
        <a:xfrm>
          <a:off x="1021080" y="20055840"/>
          <a:ext cx="6408420" cy="474345"/>
          <a:chOff x="79" y="968"/>
          <a:chExt cx="303" cy="36"/>
        </a:xfrm>
      </xdr:grpSpPr>
      <xdr:sp macro="" textlink="">
        <xdr:nvSpPr>
          <xdr:cNvPr id="170" name="Line 237">
            <a:extLst>
              <a:ext uri="{FF2B5EF4-FFF2-40B4-BE49-F238E27FC236}">
                <a16:creationId xmlns:a16="http://schemas.microsoft.com/office/drawing/2014/main" id="{3A6FB55F-AE83-B4C7-515E-50FDAEA59F20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" name="Line 241">
            <a:extLst>
              <a:ext uri="{FF2B5EF4-FFF2-40B4-BE49-F238E27FC236}">
                <a16:creationId xmlns:a16="http://schemas.microsoft.com/office/drawing/2014/main" id="{1C7A5720-9616-29C9-157C-48EA68C39B41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Line 242">
            <a:extLst>
              <a:ext uri="{FF2B5EF4-FFF2-40B4-BE49-F238E27FC236}">
                <a16:creationId xmlns:a16="http://schemas.microsoft.com/office/drawing/2014/main" id="{D2F59087-87D7-2217-3745-252B9E37C818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Line 243">
            <a:extLst>
              <a:ext uri="{FF2B5EF4-FFF2-40B4-BE49-F238E27FC236}">
                <a16:creationId xmlns:a16="http://schemas.microsoft.com/office/drawing/2014/main" id="{A971AC58-6ADF-EFFB-A5E7-1CD88AE5FE9D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" name="Line 244">
            <a:extLst>
              <a:ext uri="{FF2B5EF4-FFF2-40B4-BE49-F238E27FC236}">
                <a16:creationId xmlns:a16="http://schemas.microsoft.com/office/drawing/2014/main" id="{AA038C1A-1101-053A-5F8B-262B5003BE68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960120</xdr:colOff>
      <xdr:row>46</xdr:row>
      <xdr:rowOff>205740</xdr:rowOff>
    </xdr:from>
    <xdr:to>
      <xdr:col>10</xdr:col>
      <xdr:colOff>15241</xdr:colOff>
      <xdr:row>48</xdr:row>
      <xdr:rowOff>83820</xdr:rowOff>
    </xdr:to>
    <xdr:sp macro="" textlink="">
      <xdr:nvSpPr>
        <xdr:cNvPr id="180" name="AutoShape 235">
          <a:extLst>
            <a:ext uri="{FF2B5EF4-FFF2-40B4-BE49-F238E27FC236}">
              <a16:creationId xmlns:a16="http://schemas.microsoft.com/office/drawing/2014/main" id="{2CB212C6-3E81-4A58-9727-33A4CC355D9B}"/>
            </a:ext>
          </a:extLst>
        </xdr:cNvPr>
        <xdr:cNvSpPr>
          <a:spLocks noChangeArrowheads="1"/>
        </xdr:cNvSpPr>
      </xdr:nvSpPr>
      <xdr:spPr bwMode="auto">
        <a:xfrm>
          <a:off x="6454140" y="8389620"/>
          <a:ext cx="1760221" cy="320040"/>
        </a:xfrm>
        <a:prstGeom prst="rightArrow">
          <a:avLst>
            <a:gd name="adj1" fmla="val 55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891540</xdr:colOff>
      <xdr:row>42</xdr:row>
      <xdr:rowOff>152400</xdr:rowOff>
    </xdr:from>
    <xdr:to>
      <xdr:col>8</xdr:col>
      <xdr:colOff>91440</xdr:colOff>
      <xdr:row>47</xdr:row>
      <xdr:rowOff>213360</xdr:rowOff>
    </xdr:to>
    <xdr:sp macro="" textlink="">
      <xdr:nvSpPr>
        <xdr:cNvPr id="181" name="AutoShape 235">
          <a:extLst>
            <a:ext uri="{FF2B5EF4-FFF2-40B4-BE49-F238E27FC236}">
              <a16:creationId xmlns:a16="http://schemas.microsoft.com/office/drawing/2014/main" id="{DBE15217-0376-4644-90CB-20B1206872E8}"/>
            </a:ext>
          </a:extLst>
        </xdr:cNvPr>
        <xdr:cNvSpPr>
          <a:spLocks noChangeArrowheads="1"/>
        </xdr:cNvSpPr>
      </xdr:nvSpPr>
      <xdr:spPr bwMode="auto">
        <a:xfrm rot="5400000">
          <a:off x="6065520" y="7840980"/>
          <a:ext cx="975360" cy="33528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47625</xdr:colOff>
      <xdr:row>1</xdr:row>
      <xdr:rowOff>38100</xdr:rowOff>
    </xdr:from>
    <xdr:to>
      <xdr:col>21</xdr:col>
      <xdr:colOff>266700</xdr:colOff>
      <xdr:row>1</xdr:row>
      <xdr:rowOff>165735</xdr:rowOff>
    </xdr:to>
    <xdr:grpSp>
      <xdr:nvGrpSpPr>
        <xdr:cNvPr id="182" name="Group 232">
          <a:extLst>
            <a:ext uri="{FF2B5EF4-FFF2-40B4-BE49-F238E27FC236}">
              <a16:creationId xmlns:a16="http://schemas.microsoft.com/office/drawing/2014/main" id="{44154925-3790-466C-98EA-9E9A8F5B215B}"/>
            </a:ext>
          </a:extLst>
        </xdr:cNvPr>
        <xdr:cNvGrpSpPr>
          <a:grpSpLocks/>
        </xdr:cNvGrpSpPr>
      </xdr:nvGrpSpPr>
      <xdr:grpSpPr bwMode="auto">
        <a:xfrm>
          <a:off x="16704945" y="266700"/>
          <a:ext cx="219075" cy="127635"/>
          <a:chOff x="304" y="241"/>
          <a:chExt cx="29" cy="29"/>
        </a:xfrm>
      </xdr:grpSpPr>
      <xdr:sp macro="" textlink="">
        <xdr:nvSpPr>
          <xdr:cNvPr id="183" name="Oval 233">
            <a:extLst>
              <a:ext uri="{FF2B5EF4-FFF2-40B4-BE49-F238E27FC236}">
                <a16:creationId xmlns:a16="http://schemas.microsoft.com/office/drawing/2014/main" id="{7D012988-A18A-7AF4-6C3E-A02022466CF9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4" name="AutoShape 234">
            <a:extLst>
              <a:ext uri="{FF2B5EF4-FFF2-40B4-BE49-F238E27FC236}">
                <a16:creationId xmlns:a16="http://schemas.microsoft.com/office/drawing/2014/main" id="{3B349A16-1871-685C-8D9B-C874453D9A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6</xdr:col>
      <xdr:colOff>15240</xdr:colOff>
      <xdr:row>30</xdr:row>
      <xdr:rowOff>38100</xdr:rowOff>
    </xdr:from>
    <xdr:to>
      <xdr:col>7</xdr:col>
      <xdr:colOff>189604</xdr:colOff>
      <xdr:row>38</xdr:row>
      <xdr:rowOff>68580</xdr:rowOff>
    </xdr:to>
    <xdr:pic>
      <xdr:nvPicPr>
        <xdr:cNvPr id="186" name="Picture 94">
          <a:extLst>
            <a:ext uri="{FF2B5EF4-FFF2-40B4-BE49-F238E27FC236}">
              <a16:creationId xmlns:a16="http://schemas.microsoft.com/office/drawing/2014/main" id="{9D9936A7-9FDC-4F2A-94D0-7D8E96FF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5257800"/>
          <a:ext cx="959224" cy="1630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47625</xdr:colOff>
      <xdr:row>58</xdr:row>
      <xdr:rowOff>38100</xdr:rowOff>
    </xdr:from>
    <xdr:to>
      <xdr:col>20</xdr:col>
      <xdr:colOff>266700</xdr:colOff>
      <xdr:row>58</xdr:row>
      <xdr:rowOff>173355</xdr:rowOff>
    </xdr:to>
    <xdr:grpSp>
      <xdr:nvGrpSpPr>
        <xdr:cNvPr id="188" name="Group 232">
          <a:extLst>
            <a:ext uri="{FF2B5EF4-FFF2-40B4-BE49-F238E27FC236}">
              <a16:creationId xmlns:a16="http://schemas.microsoft.com/office/drawing/2014/main" id="{8265636F-8C35-4BFF-B5FC-702B1FC9B382}"/>
            </a:ext>
          </a:extLst>
        </xdr:cNvPr>
        <xdr:cNvGrpSpPr>
          <a:grpSpLocks/>
        </xdr:cNvGrpSpPr>
      </xdr:nvGrpSpPr>
      <xdr:grpSpPr bwMode="auto">
        <a:xfrm>
          <a:off x="15920085" y="10485120"/>
          <a:ext cx="219075" cy="135255"/>
          <a:chOff x="304" y="241"/>
          <a:chExt cx="29" cy="29"/>
        </a:xfrm>
      </xdr:grpSpPr>
      <xdr:sp macro="" textlink="">
        <xdr:nvSpPr>
          <xdr:cNvPr id="189" name="Oval 233">
            <a:extLst>
              <a:ext uri="{FF2B5EF4-FFF2-40B4-BE49-F238E27FC236}">
                <a16:creationId xmlns:a16="http://schemas.microsoft.com/office/drawing/2014/main" id="{22F026BE-A817-BFBB-1E4A-B44E901C5359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0" name="AutoShape 234">
            <a:extLst>
              <a:ext uri="{FF2B5EF4-FFF2-40B4-BE49-F238E27FC236}">
                <a16:creationId xmlns:a16="http://schemas.microsoft.com/office/drawing/2014/main" id="{257ABB18-2ED3-AAF3-EFB0-805AC417C4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0</xdr:colOff>
      <xdr:row>75</xdr:row>
      <xdr:rowOff>198120</xdr:rowOff>
    </xdr:from>
    <xdr:to>
      <xdr:col>17</xdr:col>
      <xdr:colOff>53340</xdr:colOff>
      <xdr:row>81</xdr:row>
      <xdr:rowOff>15240</xdr:rowOff>
    </xdr:to>
    <xdr:pic>
      <xdr:nvPicPr>
        <xdr:cNvPr id="192" name="Picture 88">
          <a:extLst>
            <a:ext uri="{FF2B5EF4-FFF2-40B4-BE49-F238E27FC236}">
              <a16:creationId xmlns:a16="http://schemas.microsoft.com/office/drawing/2014/main" id="{A6BB2ED5-CE52-4930-8506-B1F59C7A8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3020" y="13860780"/>
          <a:ext cx="838200" cy="891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7620</xdr:colOff>
      <xdr:row>88</xdr:row>
      <xdr:rowOff>121920</xdr:rowOff>
    </xdr:from>
    <xdr:to>
      <xdr:col>22</xdr:col>
      <xdr:colOff>769620</xdr:colOff>
      <xdr:row>90</xdr:row>
      <xdr:rowOff>0</xdr:rowOff>
    </xdr:to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6BFFDD88-AC8A-47CD-9F51-0BE3D2B0C13C}"/>
            </a:ext>
          </a:extLst>
        </xdr:cNvPr>
        <xdr:cNvSpPr>
          <a:spLocks noChangeArrowheads="1"/>
        </xdr:cNvSpPr>
      </xdr:nvSpPr>
      <xdr:spPr bwMode="auto">
        <a:xfrm>
          <a:off x="14310360" y="16192500"/>
          <a:ext cx="4213860" cy="22098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784859</xdr:colOff>
      <xdr:row>37</xdr:row>
      <xdr:rowOff>7620</xdr:rowOff>
    </xdr:from>
    <xdr:to>
      <xdr:col>5</xdr:col>
      <xdr:colOff>586739</xdr:colOff>
      <xdr:row>41</xdr:row>
      <xdr:rowOff>81915</xdr:rowOff>
    </xdr:to>
    <xdr:sp macro="" textlink="">
      <xdr:nvSpPr>
        <xdr:cNvPr id="194" name="AutoShape 18">
          <a:extLst>
            <a:ext uri="{FF2B5EF4-FFF2-40B4-BE49-F238E27FC236}">
              <a16:creationId xmlns:a16="http://schemas.microsoft.com/office/drawing/2014/main" id="{7CD97C0B-3358-42C9-B260-11D81E384803}"/>
            </a:ext>
          </a:extLst>
        </xdr:cNvPr>
        <xdr:cNvSpPr>
          <a:spLocks noChangeArrowheads="1"/>
        </xdr:cNvSpPr>
      </xdr:nvSpPr>
      <xdr:spPr bwMode="auto">
        <a:xfrm flipH="1">
          <a:off x="3924299" y="6652260"/>
          <a:ext cx="586740" cy="752475"/>
        </a:xfrm>
        <a:custGeom>
          <a:avLst/>
          <a:gdLst>
            <a:gd name="T0" fmla="*/ 28833399 w 21600"/>
            <a:gd name="T1" fmla="*/ 20439495 h 21600"/>
            <a:gd name="T2" fmla="*/ 1894494 w 21600"/>
            <a:gd name="T3" fmla="*/ 9210354 h 21600"/>
            <a:gd name="T4" fmla="*/ 28833399 w 21600"/>
            <a:gd name="T5" fmla="*/ 20439495 h 21600"/>
            <a:gd name="T6" fmla="*/ -2942244 w 21600"/>
            <a:gd name="T7" fmla="*/ 24399097 h 21600"/>
            <a:gd name="T8" fmla="*/ -439473 w 21600"/>
            <a:gd name="T9" fmla="*/ 18778645 h 21600"/>
            <a:gd name="T10" fmla="*/ 4022207 w 21600"/>
            <a:gd name="T11" fmla="*/ 21931503 h 2160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3163 w 21600"/>
            <a:gd name="T19" fmla="*/ 3163 h 21600"/>
            <a:gd name="T20" fmla="*/ 18437 w 21600"/>
            <a:gd name="T21" fmla="*/ 18437 h 2160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1600" h="21600">
              <a:moveTo>
                <a:pt x="403" y="13725"/>
              </a:moveTo>
              <a:cubicBezTo>
                <a:pt x="1714" y="18382"/>
                <a:pt x="5961" y="21599"/>
                <a:pt x="10800" y="21599"/>
              </a:cubicBezTo>
              <a:cubicBezTo>
                <a:pt x="16764" y="21600"/>
                <a:pt x="21600" y="16764"/>
                <a:pt x="21600" y="10800"/>
              </a:cubicBezTo>
              <a:cubicBezTo>
                <a:pt x="21600" y="4835"/>
                <a:pt x="16764" y="0"/>
                <a:pt x="10800" y="0"/>
              </a:cubicBezTo>
              <a:cubicBezTo>
                <a:pt x="6918" y="0"/>
                <a:pt x="3334" y="2083"/>
                <a:pt x="1414" y="5457"/>
              </a:cubicBezTo>
              <a:cubicBezTo>
                <a:pt x="3334" y="2083"/>
                <a:pt x="6918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ubicBezTo>
                <a:pt x="21600" y="16764"/>
                <a:pt x="16764" y="21600"/>
                <a:pt x="10800" y="21600"/>
              </a:cubicBezTo>
              <a:cubicBezTo>
                <a:pt x="5961" y="21599"/>
                <a:pt x="1714" y="18382"/>
                <a:pt x="403" y="13725"/>
              </a:cubicBezTo>
              <a:lnTo>
                <a:pt x="-2196" y="14456"/>
              </a:lnTo>
              <a:lnTo>
                <a:pt x="-328" y="11126"/>
              </a:lnTo>
              <a:lnTo>
                <a:pt x="3002" y="12994"/>
              </a:lnTo>
              <a:lnTo>
                <a:pt x="403" y="1372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22</xdr:col>
      <xdr:colOff>347622</xdr:colOff>
      <xdr:row>56</xdr:row>
      <xdr:rowOff>168146</xdr:rowOff>
    </xdr:from>
    <xdr:to>
      <xdr:col>22</xdr:col>
      <xdr:colOff>594663</xdr:colOff>
      <xdr:row>63</xdr:row>
      <xdr:rowOff>93571</xdr:rowOff>
    </xdr:to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882C2628-A7BE-474B-B874-82553FC84B42}"/>
            </a:ext>
          </a:extLst>
        </xdr:cNvPr>
        <xdr:cNvSpPr>
          <a:spLocks noChangeArrowheads="1"/>
        </xdr:cNvSpPr>
      </xdr:nvSpPr>
      <xdr:spPr bwMode="auto">
        <a:xfrm rot="2961016">
          <a:off x="17527700" y="10793448"/>
          <a:ext cx="1396085" cy="247041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Z107"/>
  <sheetViews>
    <sheetView tabSelected="1" topLeftCell="A77" workbookViewId="0">
      <selection activeCell="M54" sqref="M54"/>
    </sheetView>
  </sheetViews>
  <sheetFormatPr baseColWidth="10" defaultColWidth="11.44140625" defaultRowHeight="13.2" x14ac:dyDescent="0.25"/>
  <cols>
    <col min="1" max="7" width="11.44140625" style="1"/>
    <col min="8" max="8" width="16.5546875" style="1" customWidth="1"/>
    <col min="9" max="10" width="11.44140625" style="1"/>
    <col min="11" max="11" width="12.6640625" style="1" customWidth="1"/>
    <col min="12" max="12" width="7.6640625" style="1" customWidth="1"/>
    <col min="13" max="16384" width="11.44140625" style="1"/>
  </cols>
  <sheetData>
    <row r="1" spans="13:21" ht="13.8" thickBot="1" x14ac:dyDescent="0.3"/>
    <row r="2" spans="13:21" x14ac:dyDescent="0.25">
      <c r="M2" s="39" t="s">
        <v>27</v>
      </c>
      <c r="N2" s="15"/>
      <c r="O2" s="15"/>
      <c r="P2" s="15"/>
      <c r="Q2" s="15"/>
      <c r="R2" s="15"/>
      <c r="S2" s="15"/>
      <c r="T2" s="15"/>
      <c r="U2" s="16"/>
    </row>
    <row r="3" spans="13:21" x14ac:dyDescent="0.25">
      <c r="M3" s="17"/>
      <c r="U3" s="18"/>
    </row>
    <row r="4" spans="13:21" x14ac:dyDescent="0.25">
      <c r="M4" s="17"/>
      <c r="U4" s="18"/>
    </row>
    <row r="5" spans="13:21" x14ac:dyDescent="0.25">
      <c r="M5" s="17"/>
      <c r="U5" s="18"/>
    </row>
    <row r="6" spans="13:21" x14ac:dyDescent="0.25">
      <c r="M6" s="17"/>
      <c r="U6" s="18"/>
    </row>
    <row r="7" spans="13:21" x14ac:dyDescent="0.25">
      <c r="M7" s="17"/>
      <c r="U7" s="18"/>
    </row>
    <row r="8" spans="13:21" ht="13.8" thickBot="1" x14ac:dyDescent="0.3">
      <c r="M8" s="19"/>
      <c r="N8" s="20"/>
      <c r="O8" s="20"/>
      <c r="P8" s="20"/>
      <c r="Q8" s="20"/>
      <c r="R8" s="20"/>
      <c r="S8" s="20"/>
      <c r="T8" s="20"/>
      <c r="U8" s="21"/>
    </row>
    <row r="17" spans="3:15" ht="13.8" thickBot="1" x14ac:dyDescent="0.3">
      <c r="K17" s="1" t="s">
        <v>31</v>
      </c>
    </row>
    <row r="18" spans="3:15" x14ac:dyDescent="0.25">
      <c r="C18" s="39" t="s">
        <v>26</v>
      </c>
      <c r="D18" s="15"/>
      <c r="E18" s="15"/>
      <c r="F18" s="15"/>
      <c r="G18" s="15"/>
      <c r="H18" s="16"/>
    </row>
    <row r="19" spans="3:15" ht="13.8" thickBot="1" x14ac:dyDescent="0.3">
      <c r="C19" s="17"/>
      <c r="H19" s="18"/>
    </row>
    <row r="20" spans="3:15" x14ac:dyDescent="0.25">
      <c r="C20" s="17"/>
      <c r="H20" s="18"/>
      <c r="L20" s="39" t="s">
        <v>30</v>
      </c>
      <c r="M20" s="45">
        <v>16</v>
      </c>
      <c r="N20" s="46">
        <f>+M20/M21</f>
        <v>0.47058823529411764</v>
      </c>
      <c r="O20" s="47" t="s">
        <v>33</v>
      </c>
    </row>
    <row r="21" spans="3:15" ht="13.8" thickBot="1" x14ac:dyDescent="0.3">
      <c r="C21" s="19"/>
      <c r="D21" s="20"/>
      <c r="E21" s="20"/>
      <c r="F21" s="20"/>
      <c r="G21" s="20"/>
      <c r="H21" s="21"/>
      <c r="L21" s="12"/>
      <c r="M21" s="48">
        <v>34</v>
      </c>
      <c r="N21" s="48"/>
      <c r="O21" s="49"/>
    </row>
    <row r="22" spans="3:15" ht="15.6" thickBot="1" x14ac:dyDescent="0.3">
      <c r="C22" s="40" t="s">
        <v>19</v>
      </c>
      <c r="D22" s="15"/>
      <c r="E22" s="15"/>
      <c r="F22" s="15"/>
      <c r="G22" s="15"/>
      <c r="H22" s="16"/>
    </row>
    <row r="23" spans="3:15" x14ac:dyDescent="0.25">
      <c r="C23" s="14"/>
      <c r="D23" s="16"/>
      <c r="H23" s="18"/>
      <c r="L23" s="1" t="s">
        <v>32</v>
      </c>
      <c r="M23" s="1">
        <v>16</v>
      </c>
      <c r="N23" s="44">
        <f>+M23/M24</f>
        <v>1.4545454545454546</v>
      </c>
      <c r="O23" s="1" t="s">
        <v>33</v>
      </c>
    </row>
    <row r="24" spans="3:15" x14ac:dyDescent="0.25">
      <c r="C24" s="8" t="s">
        <v>20</v>
      </c>
      <c r="D24" s="18"/>
      <c r="F24" s="30" t="s">
        <v>18</v>
      </c>
      <c r="H24" s="18"/>
      <c r="M24" s="1">
        <v>11</v>
      </c>
    </row>
    <row r="25" spans="3:15" x14ac:dyDescent="0.25">
      <c r="C25" s="17"/>
      <c r="D25" s="18"/>
      <c r="H25" s="18"/>
    </row>
    <row r="26" spans="3:15" x14ac:dyDescent="0.25">
      <c r="C26" s="17"/>
      <c r="D26" s="18"/>
      <c r="H26" s="18"/>
    </row>
    <row r="27" spans="3:15" x14ac:dyDescent="0.25">
      <c r="C27" s="17"/>
      <c r="D27" s="18"/>
      <c r="H27" s="18"/>
    </row>
    <row r="28" spans="3:15" x14ac:dyDescent="0.25">
      <c r="C28" s="17"/>
      <c r="D28" s="18"/>
      <c r="H28" s="18"/>
    </row>
    <row r="29" spans="3:15" x14ac:dyDescent="0.25">
      <c r="C29" s="17"/>
      <c r="D29" s="18"/>
      <c r="H29" s="18"/>
    </row>
    <row r="30" spans="3:15" x14ac:dyDescent="0.25">
      <c r="C30" s="17"/>
      <c r="D30" s="18"/>
      <c r="H30" s="18"/>
    </row>
    <row r="31" spans="3:15" ht="24" x14ac:dyDescent="0.35">
      <c r="C31" s="31" t="s">
        <v>21</v>
      </c>
      <c r="D31" s="31"/>
      <c r="E31" s="32"/>
      <c r="F31" s="32"/>
      <c r="G31" s="30"/>
      <c r="H31" s="33"/>
    </row>
    <row r="32" spans="3:15" x14ac:dyDescent="0.25">
      <c r="C32" s="17"/>
      <c r="H32" s="18"/>
    </row>
    <row r="33" spans="3:12" x14ac:dyDescent="0.25">
      <c r="C33" s="17"/>
      <c r="D33" s="18"/>
      <c r="H33" s="18"/>
    </row>
    <row r="34" spans="3:12" x14ac:dyDescent="0.25">
      <c r="C34" s="17"/>
      <c r="D34" s="18"/>
      <c r="H34" s="18"/>
    </row>
    <row r="35" spans="3:12" ht="13.8" thickBot="1" x14ac:dyDescent="0.3">
      <c r="C35" s="17"/>
      <c r="D35" s="18"/>
      <c r="H35" s="18"/>
    </row>
    <row r="36" spans="3:12" ht="17.399999999999999" x14ac:dyDescent="0.3">
      <c r="C36" s="17"/>
      <c r="D36" s="18"/>
      <c r="H36" s="18"/>
      <c r="K36" s="2" t="s">
        <v>8</v>
      </c>
      <c r="L36" s="3"/>
    </row>
    <row r="37" spans="3:12" ht="17.399999999999999" x14ac:dyDescent="0.3">
      <c r="C37" s="17"/>
      <c r="D37" s="18"/>
      <c r="H37" s="18"/>
      <c r="K37" s="4"/>
      <c r="L37" s="5">
        <v>2</v>
      </c>
    </row>
    <row r="38" spans="3:12" ht="13.8" thickBot="1" x14ac:dyDescent="0.3">
      <c r="C38" s="17"/>
      <c r="D38" s="18"/>
      <c r="H38" s="18"/>
      <c r="K38" s="6" t="s">
        <v>6</v>
      </c>
      <c r="L38" s="7"/>
    </row>
    <row r="39" spans="3:12" x14ac:dyDescent="0.25">
      <c r="C39" s="17"/>
      <c r="D39" s="18"/>
      <c r="H39" s="18"/>
      <c r="K39" s="8" t="s">
        <v>3</v>
      </c>
      <c r="L39" s="9">
        <v>16</v>
      </c>
    </row>
    <row r="40" spans="3:12" x14ac:dyDescent="0.25">
      <c r="C40" s="17"/>
      <c r="D40" s="18"/>
      <c r="H40" s="18"/>
      <c r="K40" s="8" t="s">
        <v>1</v>
      </c>
      <c r="L40" s="10">
        <v>3</v>
      </c>
    </row>
    <row r="41" spans="3:12" x14ac:dyDescent="0.25">
      <c r="C41" s="17"/>
      <c r="D41" s="18"/>
      <c r="H41" s="18"/>
      <c r="K41" s="8" t="s">
        <v>0</v>
      </c>
      <c r="L41" s="11">
        <v>0.5</v>
      </c>
    </row>
    <row r="42" spans="3:12" x14ac:dyDescent="0.25">
      <c r="C42" s="17"/>
      <c r="D42" s="18"/>
      <c r="H42" s="18"/>
      <c r="K42" s="8" t="s">
        <v>5</v>
      </c>
      <c r="L42" s="10">
        <v>14</v>
      </c>
    </row>
    <row r="43" spans="3:12" ht="13.8" thickBot="1" x14ac:dyDescent="0.3">
      <c r="C43" s="19"/>
      <c r="D43" s="21"/>
      <c r="E43" s="20"/>
      <c r="F43" s="20"/>
      <c r="G43" s="20"/>
      <c r="H43" s="21"/>
      <c r="K43" s="8" t="s">
        <v>2</v>
      </c>
      <c r="L43" s="41">
        <f>+(120-15)/120</f>
        <v>0.875</v>
      </c>
    </row>
    <row r="44" spans="3:12" x14ac:dyDescent="0.25">
      <c r="K44" s="8" t="s">
        <v>4</v>
      </c>
      <c r="L44" s="10"/>
    </row>
    <row r="45" spans="3:12" ht="13.8" thickBot="1" x14ac:dyDescent="0.3">
      <c r="K45" s="12"/>
      <c r="L45" s="13"/>
    </row>
    <row r="46" spans="3:12" ht="13.8" thickBot="1" x14ac:dyDescent="0.3"/>
    <row r="47" spans="3:12" ht="17.399999999999999" x14ac:dyDescent="0.3">
      <c r="D47" s="2" t="s">
        <v>8</v>
      </c>
      <c r="E47" s="3"/>
      <c r="H47" s="39" t="s">
        <v>25</v>
      </c>
      <c r="I47" s="15"/>
      <c r="J47" s="15"/>
      <c r="K47" s="16"/>
    </row>
    <row r="48" spans="3:12" ht="17.399999999999999" x14ac:dyDescent="0.3">
      <c r="D48" s="4"/>
      <c r="E48" s="5">
        <v>2</v>
      </c>
      <c r="H48" s="17"/>
      <c r="K48" s="18"/>
    </row>
    <row r="49" spans="3:26" ht="13.8" thickBot="1" x14ac:dyDescent="0.3">
      <c r="D49" s="6" t="s">
        <v>7</v>
      </c>
      <c r="E49" s="7"/>
      <c r="H49" s="17"/>
      <c r="K49" s="18"/>
    </row>
    <row r="50" spans="3:26" x14ac:dyDescent="0.25">
      <c r="D50" s="8" t="s">
        <v>3</v>
      </c>
      <c r="E50" s="9">
        <v>16</v>
      </c>
      <c r="H50" s="17"/>
      <c r="K50" s="18"/>
    </row>
    <row r="51" spans="3:26" x14ac:dyDescent="0.25">
      <c r="D51" s="8" t="s">
        <v>1</v>
      </c>
      <c r="E51" s="10">
        <v>3</v>
      </c>
      <c r="H51" s="17"/>
      <c r="K51" s="18"/>
    </row>
    <row r="52" spans="3:26" x14ac:dyDescent="0.25">
      <c r="D52" s="8" t="s">
        <v>0</v>
      </c>
      <c r="E52" s="11">
        <v>0.5</v>
      </c>
      <c r="H52" s="17"/>
      <c r="K52" s="18"/>
    </row>
    <row r="53" spans="3:26" x14ac:dyDescent="0.25">
      <c r="D53" s="8" t="s">
        <v>5</v>
      </c>
      <c r="E53" s="10">
        <v>12</v>
      </c>
      <c r="H53" s="17"/>
      <c r="K53" s="18"/>
    </row>
    <row r="54" spans="3:26" x14ac:dyDescent="0.25">
      <c r="D54" s="8" t="s">
        <v>2</v>
      </c>
      <c r="E54" s="41">
        <f>+(260-5)/260</f>
        <v>0.98076923076923073</v>
      </c>
      <c r="H54" s="17"/>
      <c r="K54" s="18"/>
    </row>
    <row r="55" spans="3:26" x14ac:dyDescent="0.25">
      <c r="D55" s="8" t="s">
        <v>4</v>
      </c>
      <c r="E55" s="10"/>
      <c r="H55" s="17"/>
      <c r="K55" s="18"/>
    </row>
    <row r="56" spans="3:26" ht="13.8" thickBot="1" x14ac:dyDescent="0.3">
      <c r="D56" s="12"/>
      <c r="E56" s="13"/>
      <c r="H56" s="19"/>
      <c r="I56" s="20"/>
      <c r="J56" s="20"/>
      <c r="K56" s="21"/>
    </row>
    <row r="57" spans="3:26" x14ac:dyDescent="0.25">
      <c r="C57" s="30"/>
    </row>
    <row r="58" spans="3:26" x14ac:dyDescent="0.25">
      <c r="C58" s="30"/>
    </row>
    <row r="59" spans="3:26" ht="13.8" thickBot="1" x14ac:dyDescent="0.3">
      <c r="C59" s="30"/>
    </row>
    <row r="60" spans="3:26" ht="17.399999999999999" x14ac:dyDescent="0.3">
      <c r="C60" s="2" t="s">
        <v>15</v>
      </c>
      <c r="D60" s="3"/>
      <c r="E60" s="27"/>
    </row>
    <row r="61" spans="3:26" ht="17.399999999999999" x14ac:dyDescent="0.3">
      <c r="C61" s="4"/>
      <c r="D61" s="5">
        <v>4</v>
      </c>
      <c r="E61" s="28"/>
    </row>
    <row r="62" spans="3:26" ht="13.8" thickBot="1" x14ac:dyDescent="0.3">
      <c r="C62" s="6" t="s">
        <v>34</v>
      </c>
      <c r="D62" s="7"/>
      <c r="E62" s="29"/>
    </row>
    <row r="63" spans="3:26" ht="18" thickBot="1" x14ac:dyDescent="0.35">
      <c r="C63" s="8" t="s">
        <v>3</v>
      </c>
      <c r="D63" s="9">
        <v>16</v>
      </c>
      <c r="E63" s="25"/>
      <c r="F63" s="27"/>
      <c r="G63" s="27"/>
      <c r="H63" s="27"/>
      <c r="K63" s="2" t="s">
        <v>9</v>
      </c>
      <c r="L63" s="3"/>
      <c r="U63" s="56" t="s">
        <v>38</v>
      </c>
    </row>
    <row r="64" spans="3:26" ht="17.399999999999999" x14ac:dyDescent="0.3">
      <c r="C64" s="8" t="s">
        <v>1</v>
      </c>
      <c r="D64" s="10">
        <v>1</v>
      </c>
      <c r="E64" s="25"/>
      <c r="F64" s="28"/>
      <c r="G64" s="28"/>
      <c r="H64" s="28"/>
      <c r="K64" s="4"/>
      <c r="L64" s="5">
        <v>2</v>
      </c>
      <c r="O64" s="39" t="s">
        <v>16</v>
      </c>
      <c r="P64" s="15"/>
      <c r="Q64" s="15"/>
      <c r="R64" s="16"/>
      <c r="S64" s="34"/>
      <c r="U64" s="57"/>
      <c r="W64" s="39" t="s">
        <v>22</v>
      </c>
      <c r="X64" s="15"/>
      <c r="Y64" s="15"/>
      <c r="Z64" s="16"/>
    </row>
    <row r="65" spans="3:26" ht="13.8" thickBot="1" x14ac:dyDescent="0.3">
      <c r="C65" s="8" t="s">
        <v>0</v>
      </c>
      <c r="D65" s="11">
        <v>0.2</v>
      </c>
      <c r="E65" s="26"/>
      <c r="F65" s="29"/>
      <c r="G65" s="29"/>
      <c r="H65" s="29"/>
      <c r="K65" s="6" t="s">
        <v>10</v>
      </c>
      <c r="L65" s="7"/>
      <c r="O65" s="17"/>
      <c r="R65" s="18"/>
      <c r="S65" s="58" t="s">
        <v>17</v>
      </c>
      <c r="U65" s="57"/>
      <c r="W65" s="17"/>
      <c r="Z65" s="18"/>
    </row>
    <row r="66" spans="3:26" x14ac:dyDescent="0.25">
      <c r="C66" s="8" t="s">
        <v>5</v>
      </c>
      <c r="D66" s="10">
        <v>12</v>
      </c>
      <c r="E66" s="25"/>
      <c r="F66" s="25"/>
      <c r="G66" s="25"/>
      <c r="H66" s="25"/>
      <c r="K66" s="8" t="s">
        <v>3</v>
      </c>
      <c r="L66" s="9">
        <v>16</v>
      </c>
      <c r="O66" s="17"/>
      <c r="R66" s="18"/>
      <c r="S66" s="59"/>
      <c r="U66" s="57"/>
      <c r="W66" s="17"/>
      <c r="Z66" s="18"/>
    </row>
    <row r="67" spans="3:26" x14ac:dyDescent="0.25">
      <c r="C67" s="8" t="s">
        <v>2</v>
      </c>
      <c r="D67" s="41">
        <f>+(18-1)/18</f>
        <v>0.94444444444444442</v>
      </c>
      <c r="E67" s="43"/>
      <c r="F67" s="25"/>
      <c r="G67" s="25"/>
      <c r="H67" s="25"/>
      <c r="K67" s="8" t="s">
        <v>1</v>
      </c>
      <c r="L67" s="10">
        <v>0.2</v>
      </c>
      <c r="O67" s="17"/>
      <c r="R67" s="18"/>
      <c r="S67" s="59"/>
      <c r="U67" s="57"/>
      <c r="W67" s="17"/>
      <c r="Z67" s="18"/>
    </row>
    <row r="68" spans="3:26" x14ac:dyDescent="0.25">
      <c r="C68" s="8" t="s">
        <v>4</v>
      </c>
      <c r="D68" s="10"/>
      <c r="E68" s="25"/>
      <c r="F68" s="26"/>
      <c r="G68" s="26"/>
      <c r="H68" s="26"/>
      <c r="K68" s="8" t="s">
        <v>0</v>
      </c>
      <c r="L68" s="11">
        <v>0.1</v>
      </c>
      <c r="O68" s="17"/>
      <c r="R68" s="18"/>
      <c r="S68" s="59"/>
      <c r="U68" s="57"/>
      <c r="W68" s="17"/>
      <c r="Z68" s="18"/>
    </row>
    <row r="69" spans="3:26" ht="13.8" thickBot="1" x14ac:dyDescent="0.3">
      <c r="C69" s="12"/>
      <c r="D69" s="13"/>
      <c r="F69" s="25"/>
      <c r="G69" s="25"/>
      <c r="H69" s="25"/>
      <c r="K69" s="8" t="s">
        <v>5</v>
      </c>
      <c r="L69" s="10">
        <v>14</v>
      </c>
      <c r="O69" s="17"/>
      <c r="R69" s="18"/>
      <c r="S69" s="59"/>
      <c r="U69" s="57"/>
      <c r="W69" s="17"/>
      <c r="Z69" s="18"/>
    </row>
    <row r="70" spans="3:26" x14ac:dyDescent="0.25">
      <c r="F70" s="25"/>
      <c r="G70" s="25"/>
      <c r="H70" s="25"/>
      <c r="K70" s="8" t="s">
        <v>2</v>
      </c>
      <c r="L70" s="41">
        <f>+(123-14)/123</f>
        <v>0.88617886178861793</v>
      </c>
      <c r="O70" s="17"/>
      <c r="R70" s="18"/>
      <c r="S70" s="59"/>
      <c r="U70" s="57"/>
      <c r="W70" s="17"/>
      <c r="Z70" s="18"/>
    </row>
    <row r="71" spans="3:26" x14ac:dyDescent="0.25">
      <c r="F71" s="25"/>
      <c r="G71" s="25"/>
      <c r="H71" s="25"/>
      <c r="K71" s="8" t="s">
        <v>4</v>
      </c>
      <c r="L71" s="10"/>
      <c r="O71" s="17"/>
      <c r="R71" s="18"/>
      <c r="S71" s="59"/>
      <c r="U71" s="57"/>
      <c r="W71" s="17"/>
      <c r="Z71" s="18"/>
    </row>
    <row r="72" spans="3:26" ht="13.8" thickBot="1" x14ac:dyDescent="0.3">
      <c r="K72" s="12"/>
      <c r="L72" s="13"/>
      <c r="O72" s="17"/>
      <c r="R72" s="18"/>
      <c r="S72" s="59"/>
      <c r="U72" s="57"/>
      <c r="W72" s="17"/>
      <c r="Z72" s="18"/>
    </row>
    <row r="73" spans="3:26" ht="13.8" thickBot="1" x14ac:dyDescent="0.3">
      <c r="O73" s="17"/>
      <c r="R73" s="18"/>
      <c r="S73" s="59"/>
      <c r="U73" s="57"/>
      <c r="W73" s="17"/>
      <c r="Z73" s="18"/>
    </row>
    <row r="74" spans="3:26" ht="18" thickBot="1" x14ac:dyDescent="0.35">
      <c r="K74" s="2" t="s">
        <v>8</v>
      </c>
      <c r="L74" s="3"/>
      <c r="O74" s="39" t="s">
        <v>28</v>
      </c>
      <c r="P74" s="15"/>
      <c r="Q74" s="15"/>
      <c r="R74" s="16"/>
      <c r="S74" s="59"/>
      <c r="U74" s="57"/>
      <c r="W74" s="17"/>
      <c r="Z74" s="18"/>
    </row>
    <row r="75" spans="3:26" ht="17.399999999999999" customHeight="1" x14ac:dyDescent="0.3">
      <c r="K75" s="4"/>
      <c r="L75" s="5">
        <v>2</v>
      </c>
      <c r="O75" s="42" t="s">
        <v>29</v>
      </c>
      <c r="P75" s="3"/>
      <c r="R75" s="18"/>
      <c r="S75" s="59"/>
      <c r="U75" s="57"/>
      <c r="W75" s="17"/>
      <c r="Z75" s="18"/>
    </row>
    <row r="76" spans="3:26" ht="18" thickBot="1" x14ac:dyDescent="0.35">
      <c r="K76" s="6" t="s">
        <v>11</v>
      </c>
      <c r="L76" s="7"/>
      <c r="O76" s="4"/>
      <c r="P76" s="5">
        <v>12</v>
      </c>
      <c r="R76" s="18"/>
      <c r="S76" s="35"/>
      <c r="U76" s="57"/>
      <c r="W76" s="19"/>
      <c r="X76" s="20"/>
      <c r="Y76" s="20"/>
      <c r="Z76" s="21"/>
    </row>
    <row r="77" spans="3:26" ht="13.8" thickBot="1" x14ac:dyDescent="0.3">
      <c r="K77" s="8" t="s">
        <v>3</v>
      </c>
      <c r="L77" s="9">
        <v>16</v>
      </c>
      <c r="O77" s="6" t="s">
        <v>11</v>
      </c>
      <c r="P77" s="7"/>
      <c r="R77" s="18"/>
      <c r="S77" s="35"/>
      <c r="U77" s="57"/>
      <c r="W77" s="39" t="s">
        <v>23</v>
      </c>
      <c r="X77" s="15"/>
      <c r="Y77" s="15"/>
      <c r="Z77" s="16"/>
    </row>
    <row r="78" spans="3:26" ht="13.2" customHeight="1" x14ac:dyDescent="0.25">
      <c r="K78" s="8" t="s">
        <v>1</v>
      </c>
      <c r="L78" s="10">
        <v>3</v>
      </c>
      <c r="O78" s="8" t="s">
        <v>3</v>
      </c>
      <c r="P78" s="9">
        <v>16</v>
      </c>
      <c r="R78" s="18"/>
      <c r="S78" s="35"/>
      <c r="U78" s="57"/>
      <c r="W78" s="17"/>
      <c r="Z78" s="18"/>
    </row>
    <row r="79" spans="3:26" x14ac:dyDescent="0.25">
      <c r="K79" s="8" t="s">
        <v>0</v>
      </c>
      <c r="L79" s="11">
        <v>0.2</v>
      </c>
      <c r="O79" s="8" t="s">
        <v>1</v>
      </c>
      <c r="P79" s="10">
        <v>0.5</v>
      </c>
      <c r="R79" s="18"/>
      <c r="S79" s="35"/>
      <c r="U79" s="35"/>
      <c r="W79" s="17"/>
      <c r="Z79" s="18"/>
    </row>
    <row r="80" spans="3:26" x14ac:dyDescent="0.25">
      <c r="K80" s="8" t="s">
        <v>5</v>
      </c>
      <c r="L80" s="10">
        <v>14</v>
      </c>
      <c r="O80" s="8" t="s">
        <v>0</v>
      </c>
      <c r="P80" s="11">
        <v>0.1</v>
      </c>
      <c r="R80" s="18"/>
      <c r="S80" s="35"/>
      <c r="U80" s="35"/>
      <c r="W80" s="17"/>
      <c r="Z80" s="18"/>
    </row>
    <row r="81" spans="11:26" x14ac:dyDescent="0.25">
      <c r="K81" s="8" t="s">
        <v>2</v>
      </c>
      <c r="L81" s="41">
        <f>+(650-3)/650</f>
        <v>0.99538461538461542</v>
      </c>
      <c r="O81" s="8" t="s">
        <v>5</v>
      </c>
      <c r="P81" s="10">
        <v>14</v>
      </c>
      <c r="R81" s="18"/>
      <c r="S81" s="35"/>
      <c r="U81" s="35"/>
      <c r="W81" s="17"/>
      <c r="Z81" s="18"/>
    </row>
    <row r="82" spans="11:26" x14ac:dyDescent="0.25">
      <c r="K82" s="8" t="s">
        <v>4</v>
      </c>
      <c r="L82" s="10"/>
      <c r="O82" s="8" t="s">
        <v>2</v>
      </c>
      <c r="P82" s="41">
        <f>+(650-3)/650</f>
        <v>0.99538461538461542</v>
      </c>
      <c r="R82" s="18"/>
      <c r="S82" s="35"/>
      <c r="U82" s="35"/>
      <c r="W82" s="17"/>
      <c r="Z82" s="18"/>
    </row>
    <row r="83" spans="11:26" ht="13.8" thickBot="1" x14ac:dyDescent="0.3">
      <c r="K83" s="12"/>
      <c r="L83" s="13"/>
      <c r="O83" s="8" t="s">
        <v>4</v>
      </c>
      <c r="P83" s="10"/>
      <c r="R83" s="18"/>
      <c r="S83" s="35"/>
      <c r="U83" s="35"/>
      <c r="W83" s="17"/>
      <c r="Z83" s="18"/>
    </row>
    <row r="84" spans="11:26" ht="13.8" thickBot="1" x14ac:dyDescent="0.3">
      <c r="O84" s="12"/>
      <c r="P84" s="13"/>
      <c r="Q84" s="20"/>
      <c r="R84" s="21"/>
      <c r="S84" s="13"/>
      <c r="U84" s="35"/>
      <c r="W84" s="17"/>
      <c r="Z84" s="18"/>
    </row>
    <row r="85" spans="11:26" ht="18" thickBot="1" x14ac:dyDescent="0.35">
      <c r="K85" s="2" t="s">
        <v>9</v>
      </c>
      <c r="L85" s="3"/>
      <c r="U85" s="35"/>
      <c r="W85" s="17"/>
      <c r="Z85" s="18"/>
    </row>
    <row r="86" spans="11:26" ht="17.399999999999999" x14ac:dyDescent="0.3">
      <c r="K86" s="4"/>
      <c r="L86" s="5">
        <v>2</v>
      </c>
      <c r="N86" s="39" t="s">
        <v>18</v>
      </c>
      <c r="O86" s="15"/>
      <c r="P86" s="15"/>
      <c r="Q86" s="15"/>
      <c r="R86" s="16"/>
      <c r="U86" s="35"/>
      <c r="W86" s="17"/>
      <c r="Z86" s="18"/>
    </row>
    <row r="87" spans="11:26" ht="13.8" thickBot="1" x14ac:dyDescent="0.3">
      <c r="K87" s="6" t="s">
        <v>12</v>
      </c>
      <c r="L87" s="7"/>
      <c r="N87" s="17"/>
      <c r="R87" s="18"/>
      <c r="U87" s="35"/>
      <c r="W87" s="17"/>
      <c r="Z87" s="18"/>
    </row>
    <row r="88" spans="11:26" x14ac:dyDescent="0.25">
      <c r="K88" s="8" t="s">
        <v>3</v>
      </c>
      <c r="L88" s="9">
        <v>16</v>
      </c>
      <c r="N88" s="17"/>
      <c r="R88" s="18"/>
      <c r="U88" s="35"/>
      <c r="W88" s="17"/>
      <c r="Z88" s="18"/>
    </row>
    <row r="89" spans="11:26" ht="13.8" thickBot="1" x14ac:dyDescent="0.3">
      <c r="K89" s="8" t="s">
        <v>1</v>
      </c>
      <c r="L89" s="10">
        <v>0.3</v>
      </c>
      <c r="N89" s="17"/>
      <c r="R89" s="18"/>
      <c r="U89" s="35"/>
      <c r="W89" s="19"/>
      <c r="X89" s="20"/>
      <c r="Y89" s="20"/>
      <c r="Z89" s="21"/>
    </row>
    <row r="90" spans="11:26" x14ac:dyDescent="0.25">
      <c r="K90" s="8" t="s">
        <v>0</v>
      </c>
      <c r="L90" s="11">
        <v>0.2</v>
      </c>
      <c r="N90" s="17"/>
      <c r="R90" s="18"/>
      <c r="U90" s="35"/>
      <c r="W90" s="39" t="s">
        <v>24</v>
      </c>
      <c r="X90" s="15"/>
      <c r="Y90" s="15"/>
      <c r="Z90" s="16"/>
    </row>
    <row r="91" spans="11:26" x14ac:dyDescent="0.25">
      <c r="K91" s="8" t="s">
        <v>5</v>
      </c>
      <c r="L91" s="10">
        <v>14</v>
      </c>
      <c r="N91" s="17"/>
      <c r="R91" s="18"/>
      <c r="U91" s="35"/>
      <c r="W91" s="17"/>
      <c r="Z91" s="18"/>
    </row>
    <row r="92" spans="11:26" x14ac:dyDescent="0.25">
      <c r="K92" s="8" t="s">
        <v>2</v>
      </c>
      <c r="L92" s="41">
        <f>+(92-60)/90</f>
        <v>0.35555555555555557</v>
      </c>
      <c r="N92" s="17"/>
      <c r="R92" s="18"/>
      <c r="U92" s="35"/>
      <c r="W92" s="17"/>
      <c r="Z92" s="18"/>
    </row>
    <row r="93" spans="11:26" x14ac:dyDescent="0.25">
      <c r="K93" s="8" t="s">
        <v>4</v>
      </c>
      <c r="L93" s="10"/>
      <c r="N93" s="17"/>
      <c r="R93" s="18"/>
      <c r="U93" s="35"/>
      <c r="W93" s="17"/>
      <c r="Z93" s="18"/>
    </row>
    <row r="94" spans="11:26" ht="13.8" thickBot="1" x14ac:dyDescent="0.3">
      <c r="K94" s="12"/>
      <c r="L94" s="13"/>
      <c r="N94" s="19"/>
      <c r="O94" s="20"/>
      <c r="P94" s="20"/>
      <c r="Q94" s="20"/>
      <c r="R94" s="21"/>
      <c r="U94" s="35"/>
      <c r="W94" s="17"/>
      <c r="Z94" s="18"/>
    </row>
    <row r="95" spans="11:26" x14ac:dyDescent="0.25">
      <c r="K95" s="30"/>
      <c r="U95" s="35"/>
      <c r="W95" s="17"/>
      <c r="Z95" s="18"/>
    </row>
    <row r="96" spans="11:26" x14ac:dyDescent="0.25">
      <c r="K96" s="30"/>
      <c r="U96" s="35"/>
      <c r="W96" s="17"/>
      <c r="Z96" s="18"/>
    </row>
    <row r="97" spans="11:26" ht="13.8" thickBot="1" x14ac:dyDescent="0.3">
      <c r="U97" s="13"/>
      <c r="W97" s="17"/>
      <c r="Z97" s="18"/>
    </row>
    <row r="98" spans="11:26" ht="17.399999999999999" x14ac:dyDescent="0.3">
      <c r="K98" s="2" t="s">
        <v>13</v>
      </c>
      <c r="L98" s="3"/>
      <c r="W98" s="17"/>
      <c r="Z98" s="18"/>
    </row>
    <row r="99" spans="11:26" ht="17.399999999999999" x14ac:dyDescent="0.3">
      <c r="K99" s="4"/>
      <c r="L99" s="5">
        <v>1</v>
      </c>
      <c r="W99" s="17"/>
      <c r="Z99" s="18"/>
    </row>
    <row r="100" spans="11:26" ht="13.8" thickBot="1" x14ac:dyDescent="0.3">
      <c r="K100" s="6" t="s">
        <v>14</v>
      </c>
      <c r="L100" s="7"/>
      <c r="W100" s="17"/>
      <c r="Z100" s="18"/>
    </row>
    <row r="101" spans="11:26" x14ac:dyDescent="0.25">
      <c r="K101" s="8" t="s">
        <v>3</v>
      </c>
      <c r="L101" s="9">
        <v>8</v>
      </c>
      <c r="W101" s="17"/>
      <c r="Z101" s="18"/>
    </row>
    <row r="102" spans="11:26" x14ac:dyDescent="0.25">
      <c r="K102" s="8" t="s">
        <v>1</v>
      </c>
      <c r="L102" s="10">
        <v>1.6</v>
      </c>
      <c r="W102" s="17"/>
      <c r="Z102" s="18"/>
    </row>
    <row r="103" spans="11:26" x14ac:dyDescent="0.25">
      <c r="K103" s="8" t="s">
        <v>0</v>
      </c>
      <c r="L103" s="11">
        <v>0.5</v>
      </c>
      <c r="W103" s="17"/>
      <c r="Z103" s="18"/>
    </row>
    <row r="104" spans="11:26" x14ac:dyDescent="0.25">
      <c r="K104" s="8" t="s">
        <v>5</v>
      </c>
      <c r="L104" s="10">
        <v>6</v>
      </c>
      <c r="W104" s="17"/>
      <c r="Z104" s="18"/>
    </row>
    <row r="105" spans="11:26" ht="13.8" thickBot="1" x14ac:dyDescent="0.3">
      <c r="K105" s="8" t="s">
        <v>2</v>
      </c>
      <c r="L105" s="41">
        <f>+(92-3)/92</f>
        <v>0.96739130434782605</v>
      </c>
      <c r="W105" s="19"/>
      <c r="X105" s="20"/>
      <c r="Y105" s="20"/>
      <c r="Z105" s="21"/>
    </row>
    <row r="106" spans="11:26" x14ac:dyDescent="0.25">
      <c r="K106" s="8" t="s">
        <v>4</v>
      </c>
      <c r="L106" s="10"/>
    </row>
    <row r="107" spans="11:26" ht="13.8" thickBot="1" x14ac:dyDescent="0.3">
      <c r="K107" s="12"/>
      <c r="L107" s="13"/>
    </row>
  </sheetData>
  <mergeCells count="2">
    <mergeCell ref="U63:U78"/>
    <mergeCell ref="S65:S75"/>
  </mergeCells>
  <phoneticPr fontId="1" type="noConversion"/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9706-1542-4F2C-9FBA-6E2EFD1BB7D3}">
  <dimension ref="B1:AC107"/>
  <sheetViews>
    <sheetView topLeftCell="J77" workbookViewId="0">
      <selection activeCell="L70" sqref="L70"/>
    </sheetView>
  </sheetViews>
  <sheetFormatPr baseColWidth="10" defaultColWidth="11.44140625" defaultRowHeight="13.2" x14ac:dyDescent="0.25"/>
  <cols>
    <col min="1" max="7" width="11.44140625" style="1"/>
    <col min="8" max="8" width="16.5546875" style="1" customWidth="1"/>
    <col min="9" max="10" width="11.44140625" style="1"/>
    <col min="11" max="11" width="12.6640625" style="1" customWidth="1"/>
    <col min="12" max="12" width="7.6640625" style="1" customWidth="1"/>
    <col min="13" max="21" width="11.44140625" style="1"/>
    <col min="22" max="22" width="16" style="1" customWidth="1"/>
    <col min="23" max="16384" width="11.44140625" style="1"/>
  </cols>
  <sheetData>
    <row r="1" spans="13:26" ht="18" thickBot="1" x14ac:dyDescent="0.35">
      <c r="V1" s="2" t="s">
        <v>15</v>
      </c>
      <c r="W1" s="3"/>
      <c r="X1" s="22"/>
    </row>
    <row r="2" spans="13:26" ht="17.399999999999999" x14ac:dyDescent="0.3">
      <c r="M2" s="39" t="s">
        <v>27</v>
      </c>
      <c r="N2" s="15"/>
      <c r="O2" s="15"/>
      <c r="P2" s="15"/>
      <c r="Q2" s="15"/>
      <c r="R2" s="15"/>
      <c r="S2" s="15"/>
      <c r="V2" s="4"/>
      <c r="W2" s="5">
        <v>4</v>
      </c>
      <c r="X2" s="23"/>
      <c r="Y2" s="15"/>
      <c r="Z2" s="16"/>
    </row>
    <row r="3" spans="13:26" ht="13.8" thickBot="1" x14ac:dyDescent="0.3">
      <c r="M3" s="17"/>
      <c r="V3" s="6" t="s">
        <v>6</v>
      </c>
      <c r="W3" s="7"/>
      <c r="X3" s="24"/>
      <c r="Z3" s="18"/>
    </row>
    <row r="4" spans="13:26" x14ac:dyDescent="0.25">
      <c r="M4" s="17"/>
      <c r="V4" s="8" t="s">
        <v>3</v>
      </c>
      <c r="W4" s="9">
        <v>16</v>
      </c>
      <c r="X4" s="25"/>
      <c r="Z4" s="18"/>
    </row>
    <row r="5" spans="13:26" x14ac:dyDescent="0.25">
      <c r="M5" s="17"/>
      <c r="V5" s="8" t="s">
        <v>1</v>
      </c>
      <c r="W5" s="10">
        <v>1</v>
      </c>
      <c r="X5" s="25"/>
      <c r="Z5" s="18"/>
    </row>
    <row r="6" spans="13:26" x14ac:dyDescent="0.25">
      <c r="M6" s="17"/>
      <c r="V6" s="8" t="s">
        <v>0</v>
      </c>
      <c r="W6" s="11">
        <v>0.2</v>
      </c>
      <c r="X6" s="26"/>
      <c r="Z6" s="18"/>
    </row>
    <row r="7" spans="13:26" x14ac:dyDescent="0.25">
      <c r="M7" s="17"/>
      <c r="V7" s="8" t="s">
        <v>5</v>
      </c>
      <c r="W7" s="10">
        <v>12</v>
      </c>
      <c r="X7" s="25"/>
      <c r="Z7" s="18"/>
    </row>
    <row r="8" spans="13:26" ht="13.8" thickBot="1" x14ac:dyDescent="0.3">
      <c r="M8" s="19"/>
      <c r="N8" s="20"/>
      <c r="O8" s="20"/>
      <c r="P8" s="20"/>
      <c r="Q8" s="20"/>
      <c r="R8" s="20"/>
      <c r="S8" s="20"/>
      <c r="V8" s="8" t="s">
        <v>2</v>
      </c>
      <c r="W8" s="41">
        <f>+(18-1)/18</f>
        <v>0.94444444444444442</v>
      </c>
      <c r="X8" s="43"/>
      <c r="Y8" s="20"/>
      <c r="Z8" s="21"/>
    </row>
    <row r="9" spans="13:26" x14ac:dyDescent="0.25">
      <c r="V9" s="8" t="s">
        <v>4</v>
      </c>
      <c r="W9" s="10"/>
      <c r="X9" s="25"/>
    </row>
    <row r="10" spans="13:26" ht="13.8" thickBot="1" x14ac:dyDescent="0.3">
      <c r="V10" s="12"/>
      <c r="W10" s="13"/>
    </row>
    <row r="17" spans="2:16" ht="18" thickBot="1" x14ac:dyDescent="0.35">
      <c r="K17" s="27" t="s">
        <v>41</v>
      </c>
    </row>
    <row r="18" spans="2:16" x14ac:dyDescent="0.25">
      <c r="C18" s="39" t="s">
        <v>26</v>
      </c>
      <c r="D18" s="15"/>
      <c r="E18" s="15"/>
      <c r="F18" s="15"/>
      <c r="G18" s="15"/>
      <c r="H18" s="16"/>
      <c r="L18" s="1" t="s">
        <v>42</v>
      </c>
    </row>
    <row r="19" spans="2:16" ht="13.8" thickBot="1" x14ac:dyDescent="0.3">
      <c r="C19" s="17"/>
      <c r="H19" s="18"/>
    </row>
    <row r="20" spans="2:16" x14ac:dyDescent="0.25">
      <c r="C20" s="17"/>
      <c r="H20" s="18"/>
      <c r="L20" s="39" t="s">
        <v>30</v>
      </c>
      <c r="M20" s="45">
        <v>16</v>
      </c>
      <c r="N20" s="46">
        <f>+M20/M21</f>
        <v>0.47058823529411764</v>
      </c>
      <c r="O20" s="47" t="s">
        <v>33</v>
      </c>
    </row>
    <row r="21" spans="2:16" ht="13.8" thickBot="1" x14ac:dyDescent="0.3">
      <c r="C21" s="17"/>
      <c r="H21" s="18"/>
      <c r="L21" s="12"/>
      <c r="M21" s="48">
        <v>34</v>
      </c>
      <c r="N21" s="48"/>
      <c r="O21" s="49"/>
    </row>
    <row r="22" spans="2:16" ht="15.6" thickBot="1" x14ac:dyDescent="0.3">
      <c r="B22" s="14"/>
      <c r="C22" s="40" t="s">
        <v>19</v>
      </c>
      <c r="D22" s="15"/>
      <c r="E22" s="15"/>
      <c r="F22" s="15"/>
      <c r="G22" s="15"/>
      <c r="H22" s="16"/>
    </row>
    <row r="23" spans="2:16" x14ac:dyDescent="0.25">
      <c r="B23" s="17"/>
      <c r="C23" s="17"/>
      <c r="H23" s="18"/>
      <c r="L23" s="39" t="s">
        <v>32</v>
      </c>
      <c r="M23" s="45">
        <v>16</v>
      </c>
      <c r="N23" s="46">
        <f>+M23/M24</f>
        <v>1.4545454545454546</v>
      </c>
      <c r="O23" s="45" t="s">
        <v>33</v>
      </c>
      <c r="P23" s="47"/>
    </row>
    <row r="24" spans="2:16" ht="13.8" thickBot="1" x14ac:dyDescent="0.3">
      <c r="B24" s="17"/>
      <c r="C24" s="8" t="s">
        <v>20</v>
      </c>
      <c r="F24" s="30" t="s">
        <v>18</v>
      </c>
      <c r="H24" s="18"/>
      <c r="L24" s="12"/>
      <c r="M24" s="48">
        <v>11</v>
      </c>
      <c r="N24" s="48"/>
      <c r="O24" s="48"/>
      <c r="P24" s="49"/>
    </row>
    <row r="25" spans="2:16" ht="13.8" thickBot="1" x14ac:dyDescent="0.3">
      <c r="B25" s="17"/>
      <c r="C25" s="17"/>
      <c r="F25" s="55"/>
      <c r="H25" s="18"/>
    </row>
    <row r="26" spans="2:16" x14ac:dyDescent="0.25">
      <c r="B26" s="17"/>
      <c r="C26" s="17"/>
      <c r="H26" s="18"/>
    </row>
    <row r="27" spans="2:16" x14ac:dyDescent="0.25">
      <c r="B27" s="17"/>
      <c r="C27" s="17"/>
      <c r="H27" s="18"/>
    </row>
    <row r="28" spans="2:16" x14ac:dyDescent="0.25">
      <c r="B28" s="17"/>
      <c r="C28" s="17"/>
      <c r="H28" s="18"/>
    </row>
    <row r="29" spans="2:16" x14ac:dyDescent="0.25">
      <c r="B29" s="17"/>
      <c r="C29" s="17"/>
      <c r="H29" s="18"/>
    </row>
    <row r="30" spans="2:16" x14ac:dyDescent="0.25">
      <c r="B30" s="17"/>
      <c r="C30" s="17"/>
      <c r="H30" s="18"/>
    </row>
    <row r="31" spans="2:16" ht="24" x14ac:dyDescent="0.35">
      <c r="B31" s="17"/>
      <c r="C31" s="31" t="s">
        <v>35</v>
      </c>
      <c r="D31" s="31"/>
      <c r="E31" s="32"/>
      <c r="F31" s="32"/>
      <c r="G31" s="30"/>
      <c r="H31" s="33"/>
    </row>
    <row r="32" spans="2:16" x14ac:dyDescent="0.25">
      <c r="B32" s="17"/>
      <c r="C32" s="8" t="s">
        <v>40</v>
      </c>
      <c r="H32" s="18"/>
    </row>
    <row r="33" spans="2:18" x14ac:dyDescent="0.25">
      <c r="B33" s="17"/>
      <c r="C33" s="17"/>
      <c r="H33" s="18"/>
    </row>
    <row r="34" spans="2:18" x14ac:dyDescent="0.25">
      <c r="B34" s="17"/>
      <c r="C34" s="17"/>
      <c r="H34" s="18"/>
    </row>
    <row r="35" spans="2:18" ht="13.8" thickBot="1" x14ac:dyDescent="0.3">
      <c r="B35" s="17"/>
      <c r="C35" s="17"/>
      <c r="H35" s="18"/>
    </row>
    <row r="36" spans="2:18" ht="17.399999999999999" x14ac:dyDescent="0.3">
      <c r="B36" s="17"/>
      <c r="C36" s="17"/>
      <c r="H36" s="18"/>
      <c r="K36" s="2" t="s">
        <v>8</v>
      </c>
      <c r="L36" s="3"/>
    </row>
    <row r="37" spans="2:18" ht="17.399999999999999" x14ac:dyDescent="0.3">
      <c r="B37" s="17"/>
      <c r="C37" s="17"/>
      <c r="H37" s="18"/>
      <c r="K37" s="4"/>
      <c r="L37" s="5"/>
    </row>
    <row r="38" spans="2:18" ht="13.8" thickBot="1" x14ac:dyDescent="0.3">
      <c r="B38" s="17"/>
      <c r="C38" s="17"/>
      <c r="H38" s="18"/>
      <c r="K38" s="6" t="s">
        <v>6</v>
      </c>
      <c r="L38" s="7"/>
    </row>
    <row r="39" spans="2:18" x14ac:dyDescent="0.25">
      <c r="B39" s="17"/>
      <c r="C39" s="17"/>
      <c r="H39" s="18"/>
      <c r="K39" s="8" t="s">
        <v>3</v>
      </c>
      <c r="L39" s="9">
        <v>16</v>
      </c>
    </row>
    <row r="40" spans="2:18" x14ac:dyDescent="0.25">
      <c r="B40" s="17"/>
      <c r="C40" s="17"/>
      <c r="H40" s="18"/>
      <c r="K40" s="8" t="s">
        <v>1</v>
      </c>
      <c r="L40" s="10">
        <v>3</v>
      </c>
    </row>
    <row r="41" spans="2:18" x14ac:dyDescent="0.25">
      <c r="B41" s="17"/>
      <c r="C41" s="17"/>
      <c r="H41" s="18"/>
      <c r="K41" s="8" t="s">
        <v>0</v>
      </c>
      <c r="L41" s="11">
        <v>0.5</v>
      </c>
    </row>
    <row r="42" spans="2:18" x14ac:dyDescent="0.25">
      <c r="B42" s="17"/>
      <c r="C42" s="17"/>
      <c r="H42" s="18"/>
      <c r="K42" s="8" t="s">
        <v>5</v>
      </c>
      <c r="L42" s="10">
        <v>14</v>
      </c>
    </row>
    <row r="43" spans="2:18" ht="13.8" thickBot="1" x14ac:dyDescent="0.3">
      <c r="B43" s="19"/>
      <c r="C43" s="19"/>
      <c r="D43" s="20"/>
      <c r="E43" s="20"/>
      <c r="F43" s="20"/>
      <c r="G43" s="20"/>
      <c r="H43" s="21"/>
      <c r="K43" s="8" t="s">
        <v>2</v>
      </c>
      <c r="L43" s="41">
        <f>+(120-15)/120</f>
        <v>0.875</v>
      </c>
    </row>
    <row r="44" spans="2:18" x14ac:dyDescent="0.25">
      <c r="K44" s="8" t="s">
        <v>4</v>
      </c>
      <c r="L44" s="10"/>
    </row>
    <row r="45" spans="2:18" ht="13.8" thickBot="1" x14ac:dyDescent="0.3">
      <c r="K45" s="12"/>
      <c r="L45" s="13"/>
    </row>
    <row r="46" spans="2:18" ht="13.8" thickBot="1" x14ac:dyDescent="0.3"/>
    <row r="47" spans="2:18" ht="17.399999999999999" x14ac:dyDescent="0.3">
      <c r="K47" s="2" t="s">
        <v>8</v>
      </c>
      <c r="L47" s="3"/>
      <c r="O47" s="53" t="s">
        <v>25</v>
      </c>
      <c r="P47" s="15"/>
      <c r="Q47" s="15"/>
      <c r="R47" s="16"/>
    </row>
    <row r="48" spans="2:18" ht="17.399999999999999" x14ac:dyDescent="0.3">
      <c r="K48" s="4"/>
      <c r="L48" s="5">
        <v>2</v>
      </c>
      <c r="O48" s="17"/>
      <c r="R48" s="18"/>
    </row>
    <row r="49" spans="3:29" ht="13.8" thickBot="1" x14ac:dyDescent="0.3">
      <c r="K49" s="6" t="s">
        <v>7</v>
      </c>
      <c r="L49" s="7"/>
      <c r="O49" s="17"/>
      <c r="R49" s="18"/>
    </row>
    <row r="50" spans="3:29" x14ac:dyDescent="0.25">
      <c r="K50" s="8" t="s">
        <v>3</v>
      </c>
      <c r="L50" s="9">
        <v>16</v>
      </c>
      <c r="O50" s="17"/>
      <c r="R50" s="18"/>
    </row>
    <row r="51" spans="3:29" x14ac:dyDescent="0.25">
      <c r="K51" s="8" t="s">
        <v>1</v>
      </c>
      <c r="L51" s="10">
        <v>3</v>
      </c>
      <c r="O51" s="17"/>
      <c r="R51" s="18"/>
    </row>
    <row r="52" spans="3:29" x14ac:dyDescent="0.25">
      <c r="K52" s="8" t="s">
        <v>0</v>
      </c>
      <c r="L52" s="11">
        <v>0.5</v>
      </c>
      <c r="O52" s="17"/>
      <c r="R52" s="18"/>
    </row>
    <row r="53" spans="3:29" x14ac:dyDescent="0.25">
      <c r="K53" s="8" t="s">
        <v>5</v>
      </c>
      <c r="L53" s="10">
        <v>12</v>
      </c>
      <c r="O53" s="17"/>
      <c r="R53" s="18"/>
    </row>
    <row r="54" spans="3:29" x14ac:dyDescent="0.25">
      <c r="K54" s="8" t="s">
        <v>2</v>
      </c>
      <c r="L54" s="41">
        <f>+(260-5)/260</f>
        <v>0.98076923076923073</v>
      </c>
      <c r="O54" s="17"/>
      <c r="R54" s="18"/>
    </row>
    <row r="55" spans="3:29" x14ac:dyDescent="0.25">
      <c r="K55" s="8" t="s">
        <v>4</v>
      </c>
      <c r="L55" s="10"/>
      <c r="O55" s="17"/>
      <c r="R55" s="18"/>
    </row>
    <row r="56" spans="3:29" ht="13.8" thickBot="1" x14ac:dyDescent="0.3">
      <c r="K56" s="12"/>
      <c r="L56" s="13"/>
      <c r="O56" s="17"/>
      <c r="R56" s="18"/>
    </row>
    <row r="57" spans="3:29" ht="13.8" thickBot="1" x14ac:dyDescent="0.3">
      <c r="C57" s="30"/>
      <c r="O57" s="17"/>
      <c r="R57" s="18"/>
    </row>
    <row r="58" spans="3:29" ht="17.399999999999999" x14ac:dyDescent="0.3">
      <c r="C58" s="30"/>
      <c r="O58" s="17"/>
      <c r="R58" s="18"/>
      <c r="U58" s="2" t="s">
        <v>37</v>
      </c>
      <c r="V58" s="3"/>
    </row>
    <row r="59" spans="3:29" ht="17.399999999999999" x14ac:dyDescent="0.3">
      <c r="C59" s="30"/>
      <c r="O59" s="17"/>
      <c r="R59" s="18"/>
      <c r="U59" s="4"/>
      <c r="V59" s="5">
        <v>8</v>
      </c>
    </row>
    <row r="60" spans="3:29" ht="18" thickBot="1" x14ac:dyDescent="0.35">
      <c r="C60" s="27"/>
      <c r="D60" s="27"/>
      <c r="E60" s="27"/>
      <c r="O60" s="17"/>
      <c r="R60" s="18"/>
      <c r="U60" s="6" t="s">
        <v>36</v>
      </c>
      <c r="V60" s="7"/>
    </row>
    <row r="61" spans="3:29" ht="17.399999999999999" x14ac:dyDescent="0.3">
      <c r="C61" s="52"/>
      <c r="D61" s="28"/>
      <c r="E61" s="28"/>
      <c r="O61" s="17"/>
      <c r="R61" s="18"/>
      <c r="U61" s="8" t="s">
        <v>3</v>
      </c>
      <c r="V61" s="9">
        <v>16</v>
      </c>
    </row>
    <row r="62" spans="3:29" ht="13.8" thickBot="1" x14ac:dyDescent="0.3">
      <c r="C62" s="30"/>
      <c r="D62" s="29"/>
      <c r="E62" s="29"/>
      <c r="O62" s="17"/>
      <c r="R62" s="18"/>
      <c r="U62" s="8" t="s">
        <v>1</v>
      </c>
      <c r="V62" s="10">
        <v>1</v>
      </c>
    </row>
    <row r="63" spans="3:29" ht="18" thickBot="1" x14ac:dyDescent="0.35">
      <c r="C63" s="30"/>
      <c r="D63" s="25"/>
      <c r="E63" s="25"/>
      <c r="F63" s="27"/>
      <c r="G63" s="27"/>
      <c r="H63" s="27"/>
      <c r="K63" s="2" t="s">
        <v>9</v>
      </c>
      <c r="L63" s="3"/>
      <c r="O63" s="19"/>
      <c r="P63" s="20"/>
      <c r="Q63" s="20"/>
      <c r="R63" s="21"/>
      <c r="U63" s="8" t="s">
        <v>0</v>
      </c>
      <c r="V63" s="11">
        <v>0.2</v>
      </c>
      <c r="W63" s="56" t="s">
        <v>39</v>
      </c>
      <c r="X63" s="36"/>
    </row>
    <row r="64" spans="3:29" ht="17.399999999999999" x14ac:dyDescent="0.3">
      <c r="C64" s="30"/>
      <c r="D64" s="25"/>
      <c r="E64" s="25"/>
      <c r="F64" s="28"/>
      <c r="G64" s="28"/>
      <c r="H64" s="28"/>
      <c r="K64" s="4"/>
      <c r="L64" s="5">
        <v>2</v>
      </c>
      <c r="O64" s="39"/>
      <c r="P64" s="15"/>
      <c r="Q64" s="15"/>
      <c r="R64" s="16"/>
      <c r="S64" s="34"/>
      <c r="U64" s="8" t="s">
        <v>5</v>
      </c>
      <c r="V64" s="10">
        <v>12</v>
      </c>
      <c r="W64" s="57"/>
      <c r="X64" s="37"/>
      <c r="Z64" s="39" t="s">
        <v>22</v>
      </c>
      <c r="AA64" s="15"/>
      <c r="AB64" s="15"/>
      <c r="AC64" s="16"/>
    </row>
    <row r="65" spans="3:29" ht="13.8" thickBot="1" x14ac:dyDescent="0.3">
      <c r="C65" s="30"/>
      <c r="D65" s="26"/>
      <c r="E65" s="26"/>
      <c r="F65" s="29"/>
      <c r="G65" s="29"/>
      <c r="H65" s="29"/>
      <c r="K65" s="6" t="s">
        <v>10</v>
      </c>
      <c r="L65" s="7"/>
      <c r="O65" s="17"/>
      <c r="R65" s="18"/>
      <c r="S65" s="58" t="s">
        <v>17</v>
      </c>
      <c r="T65" s="50"/>
      <c r="U65" s="8" t="s">
        <v>2</v>
      </c>
      <c r="V65" s="41">
        <f>+(260-5)/260</f>
        <v>0.98076923076923073</v>
      </c>
      <c r="W65" s="57"/>
      <c r="X65" s="37"/>
      <c r="Z65" s="17"/>
      <c r="AC65" s="18"/>
    </row>
    <row r="66" spans="3:29" x14ac:dyDescent="0.25">
      <c r="C66" s="30"/>
      <c r="D66" s="25"/>
      <c r="E66" s="25"/>
      <c r="F66" s="25"/>
      <c r="G66" s="25"/>
      <c r="H66" s="25"/>
      <c r="K66" s="8" t="s">
        <v>3</v>
      </c>
      <c r="L66" s="9">
        <v>16</v>
      </c>
      <c r="O66" s="17"/>
      <c r="R66" s="18"/>
      <c r="S66" s="59"/>
      <c r="T66" s="51"/>
      <c r="U66" s="8" t="s">
        <v>4</v>
      </c>
      <c r="V66" s="10"/>
      <c r="W66" s="57"/>
      <c r="X66" s="37"/>
      <c r="Z66" s="17"/>
      <c r="AC66" s="18"/>
    </row>
    <row r="67" spans="3:29" ht="13.8" thickBot="1" x14ac:dyDescent="0.3">
      <c r="C67" s="30"/>
      <c r="D67" s="43"/>
      <c r="E67" s="43"/>
      <c r="F67" s="25"/>
      <c r="G67" s="25"/>
      <c r="H67" s="25"/>
      <c r="K67" s="8" t="s">
        <v>1</v>
      </c>
      <c r="L67" s="10">
        <v>0.2</v>
      </c>
      <c r="O67" s="17"/>
      <c r="R67" s="18"/>
      <c r="S67" s="59"/>
      <c r="T67" s="51"/>
      <c r="U67" s="12"/>
      <c r="V67" s="13"/>
      <c r="W67" s="57"/>
      <c r="X67" s="37"/>
      <c r="Z67" s="17"/>
      <c r="AC67" s="18"/>
    </row>
    <row r="68" spans="3:29" x14ac:dyDescent="0.25">
      <c r="C68" s="30"/>
      <c r="D68" s="25"/>
      <c r="E68" s="25"/>
      <c r="F68" s="26"/>
      <c r="G68" s="26"/>
      <c r="H68" s="26"/>
      <c r="K68" s="8" t="s">
        <v>0</v>
      </c>
      <c r="L68" s="11">
        <v>0.1</v>
      </c>
      <c r="O68" s="17"/>
      <c r="R68" s="18"/>
      <c r="S68" s="59"/>
      <c r="T68" s="51"/>
      <c r="U68" s="38"/>
      <c r="W68" s="57"/>
      <c r="X68" s="37"/>
      <c r="Z68" s="17"/>
      <c r="AC68" s="18"/>
    </row>
    <row r="69" spans="3:29" x14ac:dyDescent="0.25">
      <c r="C69" s="30"/>
      <c r="F69" s="25"/>
      <c r="G69" s="25"/>
      <c r="H69" s="25"/>
      <c r="K69" s="8" t="s">
        <v>5</v>
      </c>
      <c r="L69" s="10">
        <v>14</v>
      </c>
      <c r="O69" s="17"/>
      <c r="R69" s="18"/>
      <c r="S69" s="59"/>
      <c r="T69" s="51"/>
      <c r="U69" s="38"/>
      <c r="W69" s="57"/>
      <c r="X69" s="37"/>
      <c r="Z69" s="17"/>
      <c r="AC69" s="18"/>
    </row>
    <row r="70" spans="3:29" x14ac:dyDescent="0.25">
      <c r="F70" s="25"/>
      <c r="G70" s="25"/>
      <c r="H70" s="25"/>
      <c r="K70" s="8" t="s">
        <v>2</v>
      </c>
      <c r="L70" s="41">
        <f>+(123-4)/123</f>
        <v>0.96747967479674801</v>
      </c>
      <c r="O70" s="17"/>
      <c r="R70" s="18"/>
      <c r="S70" s="59"/>
      <c r="T70" s="51"/>
      <c r="U70" s="38"/>
      <c r="W70" s="57"/>
      <c r="X70" s="37"/>
      <c r="Z70" s="17"/>
      <c r="AC70" s="18"/>
    </row>
    <row r="71" spans="3:29" x14ac:dyDescent="0.25">
      <c r="F71" s="25"/>
      <c r="G71" s="25"/>
      <c r="H71" s="25"/>
      <c r="K71" s="8" t="s">
        <v>4</v>
      </c>
      <c r="L71" s="10"/>
      <c r="O71" s="17"/>
      <c r="R71" s="18"/>
      <c r="S71" s="59"/>
      <c r="T71" s="51"/>
      <c r="U71" s="38"/>
      <c r="W71" s="57"/>
      <c r="X71" s="37"/>
      <c r="Z71" s="17"/>
      <c r="AC71" s="18"/>
    </row>
    <row r="72" spans="3:29" ht="13.8" thickBot="1" x14ac:dyDescent="0.3">
      <c r="K72" s="12"/>
      <c r="L72" s="13"/>
      <c r="O72" s="17"/>
      <c r="R72" s="18"/>
      <c r="S72" s="59"/>
      <c r="T72" s="51"/>
      <c r="U72" s="38"/>
      <c r="W72" s="57"/>
      <c r="X72" s="37"/>
      <c r="Z72" s="17"/>
      <c r="AC72" s="18"/>
    </row>
    <row r="73" spans="3:29" ht="13.8" thickBot="1" x14ac:dyDescent="0.3">
      <c r="O73" s="17"/>
      <c r="R73" s="18"/>
      <c r="S73" s="59"/>
      <c r="T73" s="51"/>
      <c r="U73" s="38"/>
      <c r="W73" s="57"/>
      <c r="X73" s="37"/>
      <c r="Z73" s="17"/>
      <c r="AC73" s="18"/>
    </row>
    <row r="74" spans="3:29" ht="18" thickBot="1" x14ac:dyDescent="0.35">
      <c r="K74" s="2" t="s">
        <v>8</v>
      </c>
      <c r="L74" s="3"/>
      <c r="O74" s="54" t="s">
        <v>28</v>
      </c>
      <c r="P74" s="15"/>
      <c r="Q74" s="15"/>
      <c r="R74" s="16"/>
      <c r="S74" s="59"/>
      <c r="T74" s="51"/>
      <c r="U74" s="38"/>
      <c r="W74" s="57"/>
      <c r="X74" s="37"/>
      <c r="Z74" s="17"/>
      <c r="AC74" s="18"/>
    </row>
    <row r="75" spans="3:29" ht="17.399999999999999" customHeight="1" x14ac:dyDescent="0.3">
      <c r="K75" s="4"/>
      <c r="L75" s="5">
        <v>2</v>
      </c>
      <c r="O75" s="42" t="s">
        <v>29</v>
      </c>
      <c r="P75" s="3"/>
      <c r="R75" s="18"/>
      <c r="S75" s="59"/>
      <c r="T75" s="51"/>
      <c r="U75" s="38"/>
      <c r="W75" s="57"/>
      <c r="X75" s="37"/>
      <c r="Z75" s="17"/>
      <c r="AC75" s="18"/>
    </row>
    <row r="76" spans="3:29" ht="18" thickBot="1" x14ac:dyDescent="0.35">
      <c r="K76" s="6" t="s">
        <v>11</v>
      </c>
      <c r="L76" s="7"/>
      <c r="O76" s="4"/>
      <c r="P76" s="5">
        <v>12</v>
      </c>
      <c r="R76" s="18"/>
      <c r="S76" s="35"/>
      <c r="U76" s="35"/>
      <c r="W76" s="57"/>
      <c r="X76" s="37"/>
      <c r="Z76" s="19"/>
      <c r="AA76" s="20"/>
      <c r="AB76" s="20"/>
      <c r="AC76" s="21"/>
    </row>
    <row r="77" spans="3:29" ht="13.8" thickBot="1" x14ac:dyDescent="0.3">
      <c r="K77" s="8" t="s">
        <v>3</v>
      </c>
      <c r="L77" s="9">
        <v>16</v>
      </c>
      <c r="O77" s="6" t="s">
        <v>11</v>
      </c>
      <c r="P77" s="7"/>
      <c r="R77" s="18"/>
      <c r="S77" s="35"/>
      <c r="U77" s="35"/>
      <c r="W77" s="57"/>
      <c r="X77" s="37"/>
      <c r="Z77" s="39" t="s">
        <v>23</v>
      </c>
      <c r="AA77" s="15"/>
      <c r="AB77" s="15"/>
      <c r="AC77" s="16"/>
    </row>
    <row r="78" spans="3:29" ht="13.2" customHeight="1" x14ac:dyDescent="0.25">
      <c r="K78" s="8" t="s">
        <v>1</v>
      </c>
      <c r="L78" s="10">
        <v>3</v>
      </c>
      <c r="O78" s="8" t="s">
        <v>3</v>
      </c>
      <c r="P78" s="9">
        <v>16</v>
      </c>
      <c r="R78" s="18"/>
      <c r="S78" s="35"/>
      <c r="U78" s="35"/>
      <c r="W78" s="57"/>
      <c r="X78" s="56" t="s">
        <v>39</v>
      </c>
      <c r="Z78" s="17"/>
      <c r="AC78" s="18"/>
    </row>
    <row r="79" spans="3:29" x14ac:dyDescent="0.25">
      <c r="K79" s="8" t="s">
        <v>0</v>
      </c>
      <c r="L79" s="11">
        <v>0.2</v>
      </c>
      <c r="O79" s="8" t="s">
        <v>1</v>
      </c>
      <c r="P79" s="10">
        <v>0.5</v>
      </c>
      <c r="R79" s="18"/>
      <c r="S79" s="35"/>
      <c r="U79" s="35"/>
      <c r="W79" s="35"/>
      <c r="X79" s="57"/>
      <c r="Z79" s="17"/>
      <c r="AC79" s="18"/>
    </row>
    <row r="80" spans="3:29" x14ac:dyDescent="0.25">
      <c r="K80" s="8" t="s">
        <v>5</v>
      </c>
      <c r="L80" s="10">
        <v>14</v>
      </c>
      <c r="O80" s="8" t="s">
        <v>0</v>
      </c>
      <c r="P80" s="11">
        <v>0.1</v>
      </c>
      <c r="R80" s="18"/>
      <c r="S80" s="35"/>
      <c r="U80" s="35"/>
      <c r="W80" s="35"/>
      <c r="X80" s="57"/>
      <c r="Z80" s="17"/>
      <c r="AC80" s="18"/>
    </row>
    <row r="81" spans="11:29" x14ac:dyDescent="0.25">
      <c r="K81" s="8" t="s">
        <v>2</v>
      </c>
      <c r="L81" s="41">
        <f>+(650-3)/650</f>
        <v>0.99538461538461542</v>
      </c>
      <c r="O81" s="8" t="s">
        <v>5</v>
      </c>
      <c r="P81" s="10">
        <v>14</v>
      </c>
      <c r="R81" s="18"/>
      <c r="S81" s="35"/>
      <c r="U81" s="35"/>
      <c r="W81" s="35"/>
      <c r="X81" s="57"/>
      <c r="Z81" s="17"/>
      <c r="AC81" s="18"/>
    </row>
    <row r="82" spans="11:29" x14ac:dyDescent="0.25">
      <c r="K82" s="8" t="s">
        <v>4</v>
      </c>
      <c r="L82" s="10"/>
      <c r="O82" s="8" t="s">
        <v>2</v>
      </c>
      <c r="P82" s="41">
        <f>+(650-3)/650</f>
        <v>0.99538461538461542</v>
      </c>
      <c r="R82" s="18"/>
      <c r="S82" s="35"/>
      <c r="U82" s="35"/>
      <c r="W82" s="35"/>
      <c r="X82" s="57"/>
      <c r="Z82" s="17"/>
      <c r="AC82" s="18"/>
    </row>
    <row r="83" spans="11:29" ht="13.8" thickBot="1" x14ac:dyDescent="0.3">
      <c r="K83" s="12"/>
      <c r="L83" s="13"/>
      <c r="O83" s="8" t="s">
        <v>4</v>
      </c>
      <c r="P83" s="10"/>
      <c r="R83" s="18"/>
      <c r="S83" s="35"/>
      <c r="U83" s="35"/>
      <c r="W83" s="35"/>
      <c r="X83" s="57"/>
      <c r="Z83" s="17"/>
      <c r="AC83" s="18"/>
    </row>
    <row r="84" spans="11:29" ht="13.8" thickBot="1" x14ac:dyDescent="0.3">
      <c r="O84" s="12"/>
      <c r="P84" s="13"/>
      <c r="Q84" s="20"/>
      <c r="R84" s="21"/>
      <c r="S84" s="13"/>
      <c r="U84" s="35"/>
      <c r="W84" s="35"/>
      <c r="X84" s="57"/>
      <c r="Z84" s="17"/>
      <c r="AC84" s="18"/>
    </row>
    <row r="85" spans="11:29" ht="18" thickBot="1" x14ac:dyDescent="0.35">
      <c r="K85" s="2" t="s">
        <v>9</v>
      </c>
      <c r="L85" s="3"/>
      <c r="U85" s="35"/>
      <c r="W85" s="35"/>
      <c r="X85" s="57"/>
      <c r="Z85" s="17"/>
      <c r="AC85" s="18"/>
    </row>
    <row r="86" spans="11:29" ht="17.399999999999999" x14ac:dyDescent="0.3">
      <c r="K86" s="4"/>
      <c r="L86" s="5">
        <v>2</v>
      </c>
      <c r="N86" s="39" t="s">
        <v>18</v>
      </c>
      <c r="O86" s="15"/>
      <c r="P86" s="15"/>
      <c r="Q86" s="15"/>
      <c r="R86" s="16"/>
      <c r="U86" s="35"/>
      <c r="W86" s="35"/>
      <c r="X86" s="57"/>
      <c r="Z86" s="17"/>
      <c r="AC86" s="18"/>
    </row>
    <row r="87" spans="11:29" ht="13.8" thickBot="1" x14ac:dyDescent="0.3">
      <c r="K87" s="6" t="s">
        <v>12</v>
      </c>
      <c r="L87" s="7"/>
      <c r="N87" s="17"/>
      <c r="R87" s="18"/>
      <c r="U87" s="35"/>
      <c r="W87" s="35"/>
      <c r="X87" s="57"/>
      <c r="Z87" s="17"/>
      <c r="AC87" s="18"/>
    </row>
    <row r="88" spans="11:29" ht="13.8" thickBot="1" x14ac:dyDescent="0.3">
      <c r="K88" s="8" t="s">
        <v>3</v>
      </c>
      <c r="L88" s="9">
        <v>16</v>
      </c>
      <c r="N88" s="17"/>
      <c r="R88" s="18"/>
      <c r="U88" s="13"/>
      <c r="W88" s="35"/>
      <c r="X88" s="57"/>
      <c r="Z88" s="17"/>
      <c r="AC88" s="18"/>
    </row>
    <row r="89" spans="11:29" ht="13.8" thickBot="1" x14ac:dyDescent="0.3">
      <c r="K89" s="8" t="s">
        <v>1</v>
      </c>
      <c r="L89" s="10">
        <v>0.3</v>
      </c>
      <c r="N89" s="17"/>
      <c r="R89" s="18"/>
      <c r="W89" s="35"/>
      <c r="X89" s="57"/>
      <c r="Z89" s="19"/>
      <c r="AA89" s="20"/>
      <c r="AB89" s="20"/>
      <c r="AC89" s="21"/>
    </row>
    <row r="90" spans="11:29" x14ac:dyDescent="0.25">
      <c r="K90" s="8" t="s">
        <v>0</v>
      </c>
      <c r="L90" s="11">
        <v>0.2</v>
      </c>
      <c r="N90" s="17"/>
      <c r="R90" s="18"/>
      <c r="W90" s="35"/>
      <c r="X90" s="57"/>
      <c r="Z90" s="39" t="s">
        <v>24</v>
      </c>
      <c r="AA90" s="15"/>
      <c r="AB90" s="15"/>
      <c r="AC90" s="16"/>
    </row>
    <row r="91" spans="11:29" x14ac:dyDescent="0.25">
      <c r="K91" s="8" t="s">
        <v>5</v>
      </c>
      <c r="L91" s="10">
        <v>14</v>
      </c>
      <c r="N91" s="17"/>
      <c r="R91" s="18"/>
      <c r="W91" s="35"/>
      <c r="X91" s="57"/>
      <c r="Z91" s="17"/>
      <c r="AC91" s="18"/>
    </row>
    <row r="92" spans="11:29" x14ac:dyDescent="0.25">
      <c r="K92" s="8" t="s">
        <v>2</v>
      </c>
      <c r="L92" s="41">
        <f>+(92-5)/90</f>
        <v>0.96666666666666667</v>
      </c>
      <c r="N92" s="17"/>
      <c r="R92" s="18"/>
      <c r="W92" s="35"/>
      <c r="X92" s="57"/>
      <c r="Z92" s="17"/>
      <c r="AC92" s="18"/>
    </row>
    <row r="93" spans="11:29" x14ac:dyDescent="0.25">
      <c r="K93" s="8" t="s">
        <v>4</v>
      </c>
      <c r="L93" s="10"/>
      <c r="N93" s="17"/>
      <c r="R93" s="18"/>
      <c r="W93" s="35"/>
      <c r="X93" s="57"/>
      <c r="Z93" s="17"/>
      <c r="AC93" s="18"/>
    </row>
    <row r="94" spans="11:29" ht="13.8" thickBot="1" x14ac:dyDescent="0.3">
      <c r="K94" s="12"/>
      <c r="L94" s="13"/>
      <c r="N94" s="19"/>
      <c r="O94" s="20"/>
      <c r="P94" s="20"/>
      <c r="Q94" s="20"/>
      <c r="R94" s="21"/>
      <c r="W94" s="35"/>
      <c r="X94" s="35"/>
      <c r="Z94" s="17"/>
      <c r="AC94" s="18"/>
    </row>
    <row r="95" spans="11:29" x14ac:dyDescent="0.25">
      <c r="K95" s="30"/>
      <c r="W95" s="35"/>
      <c r="X95" s="35"/>
      <c r="Z95" s="17"/>
      <c r="AC95" s="18"/>
    </row>
    <row r="96" spans="11:29" x14ac:dyDescent="0.25">
      <c r="K96" s="30"/>
      <c r="W96" s="35"/>
      <c r="X96" s="35"/>
      <c r="Z96" s="17"/>
      <c r="AC96" s="18"/>
    </row>
    <row r="97" spans="11:29" ht="13.8" thickBot="1" x14ac:dyDescent="0.3">
      <c r="W97" s="13"/>
      <c r="X97" s="13"/>
      <c r="Z97" s="17"/>
      <c r="AC97" s="18"/>
    </row>
    <row r="98" spans="11:29" ht="17.399999999999999" x14ac:dyDescent="0.3">
      <c r="K98" s="2" t="s">
        <v>13</v>
      </c>
      <c r="L98" s="3"/>
      <c r="Z98" s="17"/>
      <c r="AC98" s="18"/>
    </row>
    <row r="99" spans="11:29" ht="17.399999999999999" x14ac:dyDescent="0.3">
      <c r="K99" s="4"/>
      <c r="L99" s="5">
        <v>1</v>
      </c>
      <c r="Z99" s="17"/>
      <c r="AC99" s="18"/>
    </row>
    <row r="100" spans="11:29" ht="13.8" thickBot="1" x14ac:dyDescent="0.3">
      <c r="K100" s="6" t="s">
        <v>14</v>
      </c>
      <c r="L100" s="7"/>
      <c r="Z100" s="17"/>
      <c r="AC100" s="18"/>
    </row>
    <row r="101" spans="11:29" x14ac:dyDescent="0.25">
      <c r="K101" s="8" t="s">
        <v>3</v>
      </c>
      <c r="L101" s="9">
        <v>8</v>
      </c>
      <c r="Z101" s="17"/>
      <c r="AC101" s="18"/>
    </row>
    <row r="102" spans="11:29" x14ac:dyDescent="0.25">
      <c r="K102" s="8" t="s">
        <v>1</v>
      </c>
      <c r="L102" s="10">
        <v>1.6</v>
      </c>
      <c r="Z102" s="17"/>
      <c r="AC102" s="18"/>
    </row>
    <row r="103" spans="11:29" x14ac:dyDescent="0.25">
      <c r="K103" s="8" t="s">
        <v>0</v>
      </c>
      <c r="L103" s="11">
        <v>0.5</v>
      </c>
      <c r="Z103" s="17"/>
      <c r="AC103" s="18"/>
    </row>
    <row r="104" spans="11:29" x14ac:dyDescent="0.25">
      <c r="K104" s="8" t="s">
        <v>5</v>
      </c>
      <c r="L104" s="10">
        <v>6</v>
      </c>
      <c r="Z104" s="17"/>
      <c r="AC104" s="18"/>
    </row>
    <row r="105" spans="11:29" ht="13.8" thickBot="1" x14ac:dyDescent="0.3">
      <c r="K105" s="8" t="s">
        <v>2</v>
      </c>
      <c r="L105" s="41">
        <f>+(92-3)/92</f>
        <v>0.96739130434782605</v>
      </c>
      <c r="Z105" s="19"/>
      <c r="AA105" s="20"/>
      <c r="AB105" s="20"/>
      <c r="AC105" s="21"/>
    </row>
    <row r="106" spans="11:29" x14ac:dyDescent="0.25">
      <c r="K106" s="8" t="s">
        <v>4</v>
      </c>
      <c r="L106" s="10"/>
    </row>
    <row r="107" spans="11:29" ht="13.8" thickBot="1" x14ac:dyDescent="0.3">
      <c r="K107" s="12"/>
      <c r="L107" s="13"/>
    </row>
  </sheetData>
  <mergeCells count="3">
    <mergeCell ref="W63:W78"/>
    <mergeCell ref="S65:S75"/>
    <mergeCell ref="X78:X93"/>
  </mergeCells>
  <pageMargins left="0.75" right="0.75" top="1" bottom="1" header="0" footer="0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4140625" defaultRowHeight="13.2" x14ac:dyDescent="0.25"/>
  <cols>
    <col min="1" max="16384" width="11.44140625" style="1"/>
  </cols>
  <sheetData/>
  <phoneticPr fontId="1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A4169C0779654E843C0083D09C7A42" ma:contentTypeVersion="8" ma:contentTypeDescription="Create a new document." ma:contentTypeScope="" ma:versionID="4ebace8f7f28d1409a50f6ddfa884f73">
  <xsd:schema xmlns:xsd="http://www.w3.org/2001/XMLSchema" xmlns:xs="http://www.w3.org/2001/XMLSchema" xmlns:p="http://schemas.microsoft.com/office/2006/metadata/properties" xmlns:ns2="57ee74f9-d4b2-4a27-8f9d-cefbca54e425" targetNamespace="http://schemas.microsoft.com/office/2006/metadata/properties" ma:root="true" ma:fieldsID="15680101ba5d004ec8372e0b9fa6b9fa" ns2:_="">
    <xsd:import namespace="57ee74f9-d4b2-4a27-8f9d-cefbca54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e74f9-d4b2-4a27-8f9d-cefbca54e4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DF08A5-1E07-4596-8E2B-393E337E40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7FD168-EC90-465F-B43B-E777198F45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e74f9-d4b2-4a27-8f9d-cefbca54e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DE66EB-A169-49FE-870F-B405605F4A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VSM Actual</vt:lpstr>
      <vt:lpstr>VSM Futuro</vt:lpstr>
      <vt:lpstr>Hoja3</vt:lpstr>
    </vt:vector>
  </TitlesOfParts>
  <Company>ITESM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Daniel Michelena</cp:lastModifiedBy>
  <dcterms:created xsi:type="dcterms:W3CDTF">2007-06-11T16:39:41Z</dcterms:created>
  <dcterms:modified xsi:type="dcterms:W3CDTF">2026-01-08T15:43:47Z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0x01010050A4169C0779654E843C0083D09C7A42</vt:lpwstr>
  </property>
</Properties>
</file>