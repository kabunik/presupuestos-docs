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chelena\Desktop\"/>
    </mc:Choice>
  </mc:AlternateContent>
  <xr:revisionPtr revIDLastSave="0" documentId="13_ncr:1_{7DB17EF1-B7F1-4367-9F9E-7688E75F7F15}" xr6:coauthVersionLast="47" xr6:coauthVersionMax="47" xr10:uidLastSave="{00000000-0000-0000-0000-000000000000}"/>
  <bookViews>
    <workbookView xWindow="-108" yWindow="-108" windowWidth="23256" windowHeight="14016" firstSheet="3" activeTab="4" xr2:uid="{00000000-000D-0000-FFFF-FFFF00000000}"/>
  </bookViews>
  <sheets>
    <sheet name="Indicaciones" sheetId="4" r:id="rId1"/>
    <sheet name="VSM Actual" sheetId="1" r:id="rId2"/>
    <sheet name="VSM Futuro" sheetId="5" r:id="rId3"/>
    <sheet name="VSM Habilitado Actual" sheetId="8" r:id="rId4"/>
    <sheet name="Planta Metalitec Actual" sheetId="9" r:id="rId5"/>
    <sheet name="VSM template" sheetId="2" r:id="rId6"/>
    <sheet name="Hoja de Datos del proceso" sheetId="6" r:id="rId7"/>
    <sheet name="Familia de Producto" sheetId="3" r:id="rId8"/>
    <sheet name="VSM Columnas Perimetral Actual" sheetId="7" r:id="rId9"/>
  </sheets>
  <calcPr calcId="191029"/>
</workbook>
</file>

<file path=xl/calcChain.xml><?xml version="1.0" encoding="utf-8"?>
<calcChain xmlns="http://schemas.openxmlformats.org/spreadsheetml/2006/main">
  <c r="Z80" i="8" l="1"/>
  <c r="Z78" i="8"/>
  <c r="Z77" i="8"/>
  <c r="U82" i="8"/>
  <c r="U79" i="8"/>
  <c r="U61" i="8"/>
  <c r="U58" i="8"/>
  <c r="U40" i="8"/>
  <c r="O44" i="8"/>
  <c r="O41" i="8"/>
  <c r="J43" i="8"/>
  <c r="J22" i="8"/>
  <c r="J21" i="8"/>
  <c r="O25" i="8"/>
  <c r="O22" i="8"/>
  <c r="U25" i="8"/>
  <c r="U43" i="8" s="1"/>
  <c r="U22" i="8"/>
  <c r="U21" i="8"/>
  <c r="U24" i="8" s="1"/>
  <c r="L105" i="7"/>
  <c r="L92" i="7"/>
  <c r="P82" i="7"/>
  <c r="L81" i="7"/>
  <c r="L70" i="7"/>
  <c r="D67" i="7"/>
  <c r="E54" i="7"/>
  <c r="L43" i="7"/>
  <c r="N23" i="7"/>
  <c r="N20" i="7"/>
  <c r="C35" i="6"/>
  <c r="J55" i="6"/>
  <c r="I39" i="6"/>
  <c r="C39" i="6"/>
  <c r="L70" i="5"/>
  <c r="V65" i="5"/>
  <c r="L92" i="5"/>
  <c r="W8" i="5"/>
  <c r="L105" i="5"/>
  <c r="P82" i="5"/>
  <c r="L81" i="5"/>
  <c r="L54" i="5"/>
  <c r="L43" i="5"/>
  <c r="N23" i="5"/>
  <c r="N20" i="5"/>
  <c r="N23" i="1"/>
  <c r="N20" i="1"/>
  <c r="P82" i="1"/>
  <c r="L105" i="1"/>
  <c r="L70" i="1"/>
  <c r="L81" i="1"/>
  <c r="L92" i="1"/>
  <c r="E54" i="1"/>
  <c r="D67" i="1"/>
  <c r="L43" i="1"/>
  <c r="O21" i="8" l="1"/>
  <c r="O2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Michelena</author>
  </authors>
  <commentList>
    <comment ref="K18" authorId="0" shapeId="0" xr:uid="{7FE7F5C0-2E1D-42A2-B924-48E8A25BB9B1}">
      <text>
        <r>
          <rPr>
            <b/>
            <sz val="9"/>
            <color indexed="81"/>
            <rFont val="Tahoma"/>
            <family val="2"/>
          </rPr>
          <t>Daniel Michelena:</t>
        </r>
        <r>
          <rPr>
            <sz val="9"/>
            <color indexed="81"/>
            <rFont val="Tahoma"/>
            <family val="2"/>
          </rPr>
          <t xml:space="preserve">
 columnas se forman mediante perfiles y placas</t>
        </r>
      </text>
    </comment>
  </commentList>
</comments>
</file>

<file path=xl/sharedStrings.xml><?xml version="1.0" encoding="utf-8"?>
<sst xmlns="http://schemas.openxmlformats.org/spreadsheetml/2006/main" count="811" uniqueCount="328">
  <si>
    <t>Push</t>
  </si>
  <si>
    <t xml:space="preserve">Pull </t>
  </si>
  <si>
    <t>Manual</t>
  </si>
  <si>
    <t xml:space="preserve">T/T </t>
  </si>
  <si>
    <t>C/O</t>
  </si>
  <si>
    <t>Q/T</t>
  </si>
  <si>
    <t>C/T</t>
  </si>
  <si>
    <t>1 of 1</t>
  </si>
  <si>
    <t>Tiempo disponible</t>
  </si>
  <si>
    <t>Demanda del cliente</t>
  </si>
  <si>
    <t>Tiempo de preparación</t>
  </si>
  <si>
    <t>Tiempo de transportación</t>
  </si>
  <si>
    <t>Tiempo de fila</t>
  </si>
  <si>
    <t>Tiempo de ciclo</t>
  </si>
  <si>
    <t>Uptime (tiempo de funcionamiento)</t>
  </si>
  <si>
    <t>U/T</t>
  </si>
  <si>
    <t>Q/R</t>
  </si>
  <si>
    <t>T/M</t>
  </si>
  <si>
    <t>E/O</t>
  </si>
  <si>
    <t>Eficiencia operativa = Tiempo est. Unit/Tiempo ciclo</t>
  </si>
  <si>
    <t>Operador</t>
  </si>
  <si>
    <t>Almacén ( W.I.P o</t>
  </si>
  <si>
    <t>prod. term. )</t>
  </si>
  <si>
    <t>Electrónico</t>
  </si>
  <si>
    <t>Flujo de información</t>
  </si>
  <si>
    <t>Información</t>
  </si>
  <si>
    <t>telefónica</t>
  </si>
  <si>
    <t>(flujo en secuencia )</t>
  </si>
  <si>
    <t>P. entradas P. salidas</t>
  </si>
  <si>
    <t xml:space="preserve"> Kanban de Retiro</t>
  </si>
  <si>
    <t>Nivelación de carga</t>
  </si>
  <si>
    <t>(e.j. desde el almacén)</t>
  </si>
  <si>
    <t xml:space="preserve">(al siguiente proceso) </t>
  </si>
  <si>
    <t>Técnicas de</t>
  </si>
  <si>
    <t>ayuda visual</t>
  </si>
  <si>
    <t>Lluvia de ideas</t>
  </si>
  <si>
    <t>Producción</t>
  </si>
  <si>
    <t>Kanban de señal</t>
  </si>
  <si>
    <t>Cliente o</t>
  </si>
  <si>
    <t>Proveedor</t>
  </si>
  <si>
    <t>Horno</t>
  </si>
  <si>
    <t>Camión</t>
  </si>
  <si>
    <t>Montacargas</t>
  </si>
  <si>
    <t>Vaya a ver</t>
  </si>
  <si>
    <t>Anuncio</t>
  </si>
  <si>
    <t>en equipo</t>
  </si>
  <si>
    <t>Inventario</t>
  </si>
  <si>
    <t>Buzón de Kanban</t>
  </si>
  <si>
    <t xml:space="preserve">Pelota de Pull </t>
  </si>
  <si>
    <t>secuenciado</t>
  </si>
  <si>
    <t>Kaizen</t>
  </si>
  <si>
    <t>MRP/ERP</t>
  </si>
  <si>
    <t>Celda de</t>
  </si>
  <si>
    <t>manufactura</t>
  </si>
  <si>
    <t xml:space="preserve">Inventario de </t>
  </si>
  <si>
    <t>seguridad/Buffer</t>
  </si>
  <si>
    <t>Hecho por:</t>
  </si>
  <si>
    <t>Fecha</t>
  </si>
  <si>
    <t>Mapa No.</t>
  </si>
  <si>
    <t>Logo compañía</t>
  </si>
  <si>
    <t>Compañía</t>
  </si>
  <si>
    <t>Rev.</t>
  </si>
  <si>
    <t>Hoja</t>
  </si>
  <si>
    <t>Proceso</t>
  </si>
  <si>
    <t>T. Disponible</t>
  </si>
  <si>
    <t>Lote</t>
  </si>
  <si>
    <t>NVA</t>
  </si>
  <si>
    <t>VA</t>
  </si>
  <si>
    <t>Up-Time</t>
  </si>
  <si>
    <t>Tiempo de entrega = Tiempo de procesamiento + tiempo de fila</t>
  </si>
  <si>
    <t>Tiempo de procesamiento = Σ tiempo de ciclo de cada proceso</t>
  </si>
  <si>
    <t>Tasa de calidad = (pzs.fab - pzs.defect)/pzs. Fab.</t>
  </si>
  <si>
    <t>Tiempo muerto = Tiempo disponible - tiempo trabajado</t>
  </si>
  <si>
    <t>(prod. terminado)</t>
  </si>
  <si>
    <t>Kanban de</t>
  </si>
  <si>
    <t>Coordinador</t>
  </si>
  <si>
    <t xml:space="preserve">Reto | Construcción de VSM de un producto o familia de productos </t>
  </si>
  <si>
    <t>para un cliente de su empresa</t>
  </si>
  <si>
    <t>Nombre del participante</t>
  </si>
  <si>
    <t>Maquina Thor Placa</t>
  </si>
  <si>
    <t>Maquina Hight Speed</t>
  </si>
  <si>
    <t>Corte de Placa</t>
  </si>
  <si>
    <t>Corte Perfil</t>
  </si>
  <si>
    <t>Maquina BDL</t>
  </si>
  <si>
    <t>Maquina FBP</t>
  </si>
  <si>
    <t>Maquina Peddibot</t>
  </si>
  <si>
    <t>Corte Placa</t>
  </si>
  <si>
    <t>Pantografo</t>
  </si>
  <si>
    <t>Biselado de Placa</t>
  </si>
  <si>
    <t>Alamacen de Partes</t>
  </si>
  <si>
    <t>Alamacen de perfiles</t>
  </si>
  <si>
    <t>Almacen de Perfiles</t>
  </si>
  <si>
    <t>Anden</t>
  </si>
  <si>
    <t>Alamcen Placas</t>
  </si>
  <si>
    <t>Usado Para Chatarra Actualmente</t>
  </si>
  <si>
    <t>Nave 3</t>
  </si>
  <si>
    <t>Nave 2</t>
  </si>
  <si>
    <t>Nave 1</t>
  </si>
  <si>
    <t>Almacen de Partes</t>
  </si>
  <si>
    <t>Area de descarga Materia Prima</t>
  </si>
  <si>
    <t>Terreno Materia Almacen Primario de Materia Prima</t>
  </si>
  <si>
    <t>Area Formacion de Paquetes</t>
  </si>
  <si>
    <t>Armado de Paquetes</t>
  </si>
  <si>
    <t>Takt</t>
  </si>
  <si>
    <t>Area de Habilitado para produccion de armables en Planta Metalmecanica</t>
  </si>
  <si>
    <t>Pitch Time</t>
  </si>
  <si>
    <t>Horas/toneladas</t>
  </si>
  <si>
    <t>Maquina semi atomaticas</t>
  </si>
  <si>
    <t>Anden de Materia Prima</t>
  </si>
  <si>
    <t>Equipos semiautomaticos</t>
  </si>
  <si>
    <t>Bisel de Placa y perfil</t>
  </si>
  <si>
    <t xml:space="preserve"> 1 Carro de distribucion de Perfiles</t>
  </si>
  <si>
    <t xml:space="preserve"> 3 Carros de distribucion de Perfiles</t>
  </si>
  <si>
    <t>solo para cubrir demanda de 4 lotes</t>
  </si>
  <si>
    <t>Area de Habilitado para producción de armables en Planta Metalmecanica</t>
  </si>
  <si>
    <t>Los paquetes se forman de perfiles y placas</t>
  </si>
  <si>
    <t>Daniel Ignacio Michelena Mujica</t>
  </si>
  <si>
    <t>Eleccion de Productos</t>
  </si>
  <si>
    <t>Marca</t>
  </si>
  <si>
    <t>Columnas de Fachada</t>
  </si>
  <si>
    <t>Columnas Interna</t>
  </si>
  <si>
    <t>Trabes Principales</t>
  </si>
  <si>
    <t>Trabes secundarias</t>
  </si>
  <si>
    <t>Structs</t>
  </si>
  <si>
    <t>Contra flambeos</t>
  </si>
  <si>
    <t>Contra vientos</t>
  </si>
  <si>
    <t>Montenes</t>
  </si>
  <si>
    <t>Corte Placa Hight Speed</t>
  </si>
  <si>
    <t>Corte Perfil BDL</t>
  </si>
  <si>
    <t>Corte Perfil Peddbot</t>
  </si>
  <si>
    <t>Corte Bisel Manual</t>
  </si>
  <si>
    <t>X</t>
  </si>
  <si>
    <t>Trabes directas</t>
  </si>
  <si>
    <t>Corte Ironwork</t>
  </si>
  <si>
    <t>Sierra pequeña</t>
  </si>
  <si>
    <t>Familia de Productos</t>
  </si>
  <si>
    <t>Descripcion</t>
  </si>
  <si>
    <t>Simbolos</t>
  </si>
  <si>
    <t>Observaciones</t>
  </si>
  <si>
    <t>Cantidad (Unds)</t>
  </si>
  <si>
    <t>Distancia (metros)</t>
  </si>
  <si>
    <t>Superficie (Metros 2)</t>
  </si>
  <si>
    <t>Datos</t>
  </si>
  <si>
    <t>N°</t>
  </si>
  <si>
    <t>Corte y barrenado de Perfiles en la BDL</t>
  </si>
  <si>
    <t>Movimiento de Perfiles de BDL a area de Biselado</t>
  </si>
  <si>
    <t>Entrega de Perfiles  BDL a Produccion</t>
  </si>
  <si>
    <t>Entrega de Paquetes de Placas  a Produccion</t>
  </si>
  <si>
    <t>Entrega de Perfiles Peddibot a Produccion</t>
  </si>
  <si>
    <t>Movimiento de Placa FBP a Area de Paquete</t>
  </si>
  <si>
    <t>Corte y Punzonado en FBP</t>
  </si>
  <si>
    <t>Alimetacion de placa a FBP</t>
  </si>
  <si>
    <t>Movimiento de Perfiles Peddibot a area de Biselado</t>
  </si>
  <si>
    <t>Corte de Perfiles en Peddibot</t>
  </si>
  <si>
    <t>Alimentacion de Perfiles a Peddibot</t>
  </si>
  <si>
    <t>Alimentacion de Perfiles a BDL</t>
  </si>
  <si>
    <t>Carga, Movimiento y descarga de Almacen de Materia Prima a Habilitado Hight Speed</t>
  </si>
  <si>
    <t>Carga, Movimiento y descarga de Almacen de Materia Prima a Habilitado a FBP</t>
  </si>
  <si>
    <t>Carga, Movimiento y descarga de Almacen de Materia Prima a Habilitado Peddibot</t>
  </si>
  <si>
    <t>Carga, Movimiento y descarga de Almacen de Materia Prima a Habilitado BDL</t>
  </si>
  <si>
    <t>Corte de Placas Menor FBP 3/4"</t>
  </si>
  <si>
    <t>Verificacion de corte Peddibot</t>
  </si>
  <si>
    <t>Verificacion de Cantidades y Marcas en Placas en Paquete</t>
  </si>
  <si>
    <t>Tiempo (Minutos)</t>
  </si>
  <si>
    <t>Armado de Paquetes de placas</t>
  </si>
  <si>
    <t>Stock de Placas</t>
  </si>
  <si>
    <t>Stock de Perfiles 1</t>
  </si>
  <si>
    <t>Stock de Perfiles 2</t>
  </si>
  <si>
    <t>Verificacion de Control de Calidad de Materia Prima</t>
  </si>
  <si>
    <t>Envio de Materia Prima del Proveedor</t>
  </si>
  <si>
    <t>150 Km</t>
  </si>
  <si>
    <t>Hoja de Datos de Procesos</t>
  </si>
  <si>
    <t>Corte y/o Barrenado</t>
  </si>
  <si>
    <t>Verificacion Calidad</t>
  </si>
  <si>
    <t>Tiempo de Ciclo</t>
  </si>
  <si>
    <t>Numero de Operarios</t>
  </si>
  <si>
    <t>Numero de Turnos</t>
  </si>
  <si>
    <t>Inventario Antes</t>
  </si>
  <si>
    <t>Superfice M2</t>
  </si>
  <si>
    <t>Biselado</t>
  </si>
  <si>
    <t>Corte Peddibot</t>
  </si>
  <si>
    <t>Corte FBP</t>
  </si>
  <si>
    <t>Corte BDL</t>
  </si>
  <si>
    <t>Corte Hight Speed</t>
  </si>
  <si>
    <t>Paquetizado</t>
  </si>
  <si>
    <t>Piezas disponibles antes</t>
  </si>
  <si>
    <t>6 placas</t>
  </si>
  <si>
    <t>26 perfiles</t>
  </si>
  <si>
    <t>96 piezas</t>
  </si>
  <si>
    <t>24 colum/dia</t>
  </si>
  <si>
    <t>Armado de Paquetes de Placa</t>
  </si>
  <si>
    <t>Corte y Biselado</t>
  </si>
  <si>
    <t>Corte BDL Perfil</t>
  </si>
  <si>
    <t>Corte Peddibot Perfil</t>
  </si>
  <si>
    <t>Hight Speed Placa</t>
  </si>
  <si>
    <t>FBP Placa</t>
  </si>
  <si>
    <t>Descarga Materia P.</t>
  </si>
  <si>
    <t>Descarga Maateria P</t>
  </si>
  <si>
    <t>Carga Materia P</t>
  </si>
  <si>
    <t>2 turnos</t>
  </si>
  <si>
    <t>1 turno</t>
  </si>
  <si>
    <t>1 Turno</t>
  </si>
  <si>
    <t>20 placas</t>
  </si>
  <si>
    <t>21 perfiles</t>
  </si>
  <si>
    <t>piezas</t>
  </si>
  <si>
    <t>23 piezas</t>
  </si>
  <si>
    <t>28 perfiles</t>
  </si>
  <si>
    <t>Aumentar Carros de distribucion</t>
  </si>
  <si>
    <t>Bajar inventario</t>
  </si>
  <si>
    <t xml:space="preserve">Cambiar de ubicación </t>
  </si>
  <si>
    <t>para que el flujo vaya</t>
  </si>
  <si>
    <t>no en contra flujo</t>
  </si>
  <si>
    <t>Reparar para bajar retrabajo</t>
  </si>
  <si>
    <t>Descargar directo del Proveedor al Anden</t>
  </si>
  <si>
    <t>Descargar directo del pro</t>
  </si>
  <si>
    <t>veedor al anden</t>
  </si>
  <si>
    <t>Descargar directo del proveedor al anden</t>
  </si>
  <si>
    <t>Reducir inventario</t>
  </si>
  <si>
    <t>Reduicir inventario</t>
  </si>
  <si>
    <t>Usar carros adecuados</t>
  </si>
  <si>
    <t>Planta Metalmecanica Metalitec</t>
  </si>
  <si>
    <t>40 ton/semana Perfiles y Placas</t>
  </si>
  <si>
    <t>Terreno de acopio</t>
  </si>
  <si>
    <t>Primer Proyecto</t>
  </si>
  <si>
    <t>y aumentar funciones</t>
  </si>
  <si>
    <t>Strumis</t>
  </si>
  <si>
    <t>Sala Tecnica</t>
  </si>
  <si>
    <t>Habilitado</t>
  </si>
  <si>
    <t>Armado</t>
  </si>
  <si>
    <t>Soldadura</t>
  </si>
  <si>
    <t>Pintura</t>
  </si>
  <si>
    <t>Demanda del Cliente</t>
  </si>
  <si>
    <t>Lotes/semana</t>
  </si>
  <si>
    <t>5 lotes</t>
  </si>
  <si>
    <t>8 lotes</t>
  </si>
  <si>
    <t>Viajes por semana</t>
  </si>
  <si>
    <t>Lote 40 ton</t>
  </si>
  <si>
    <t>Lotes</t>
  </si>
  <si>
    <t>(30 ton/viaje)</t>
  </si>
  <si>
    <t>Ingenieria</t>
  </si>
  <si>
    <t>Tekla</t>
  </si>
  <si>
    <t>Comercial</t>
  </si>
  <si>
    <t>Solicitud de Perfiles</t>
  </si>
  <si>
    <t>Retrabajos</t>
  </si>
  <si>
    <t>Perdida de Piezas</t>
  </si>
  <si>
    <t>Demasiado Inventario</t>
  </si>
  <si>
    <t>Falta de supervision y Control</t>
  </si>
  <si>
    <t>No hay balance entre Placas y perfiles</t>
  </si>
  <si>
    <t>Perdida de Piezas y refabricacion</t>
  </si>
  <si>
    <t>Falta de control de entregas</t>
  </si>
  <si>
    <t>Entregas incompletas</t>
  </si>
  <si>
    <t>Fabricacion repetida de Piezas</t>
  </si>
  <si>
    <t>Falta de Control de uso de Materiales</t>
  </si>
  <si>
    <t>Error en Pedidio en Catidad y Tipo de Materiales</t>
  </si>
  <si>
    <t>Incertidumbre en Presupuestos</t>
  </si>
  <si>
    <t>Planos defectuosos Falta de inofrmacion y NC1</t>
  </si>
  <si>
    <t>Demasiado, Reducir Inventarios a 5 lotes</t>
  </si>
  <si>
    <t>Equipos defectuosos</t>
  </si>
  <si>
    <t>Personal no comprometido</t>
  </si>
  <si>
    <t>Falta de Herramientas</t>
  </si>
  <si>
    <t>Reducir Inventario</t>
  </si>
  <si>
    <t>3,5 lotes</t>
  </si>
  <si>
    <t>Marcado erroneo en Partes</t>
  </si>
  <si>
    <t>Falta de Personal</t>
  </si>
  <si>
    <t>Falta de procesos</t>
  </si>
  <si>
    <t>Mal Aprovechamiento</t>
  </si>
  <si>
    <t>Falta de Comunicación</t>
  </si>
  <si>
    <t>No se revisan los NC1</t>
  </si>
  <si>
    <t>No se revisa las requisiciones vs aprovechamiento</t>
  </si>
  <si>
    <t>Falta de Programas para Nesting</t>
  </si>
  <si>
    <t>Falta de Comunicación con Mantenimiento</t>
  </si>
  <si>
    <t>Falta de Presencia segundo Turno</t>
  </si>
  <si>
    <t>Ruteo de piezas incompleto</t>
  </si>
  <si>
    <t>Falta Coordinacion con Habilitado</t>
  </si>
  <si>
    <t>Retrabajos por errores de maquinas y Operadores</t>
  </si>
  <si>
    <t>Operadores con Falta de entrenamiento y Conocimientos basicos</t>
  </si>
  <si>
    <t>Errores de Armado</t>
  </si>
  <si>
    <t>Falta de personal</t>
  </si>
  <si>
    <t>Faya en lectura de planos</t>
  </si>
  <si>
    <t>Falta de Compromiso</t>
  </si>
  <si>
    <t>Falta de Creatividad</t>
  </si>
  <si>
    <t>Errores de Soldadura</t>
  </si>
  <si>
    <t>Solo se usa FCAW y SMAW</t>
  </si>
  <si>
    <t>Retrabajos por errores de Habilitado y Armado</t>
  </si>
  <si>
    <t>Retrabajos por errores de Habilitado</t>
  </si>
  <si>
    <t>Trabajos incompletos en piezas</t>
  </si>
  <si>
    <t>Falta de equipos manuales basicos</t>
  </si>
  <si>
    <t>Desorden General</t>
  </si>
  <si>
    <t>Soldaduras con Piezas Incompletas</t>
  </si>
  <si>
    <t>No verifica Inventario Vs Requerimiento</t>
  </si>
  <si>
    <t>Falta Supervision de Contratistas</t>
  </si>
  <si>
    <t>Falta Supervision a Contratistas</t>
  </si>
  <si>
    <t>Falta de Control de ubicación de piezas</t>
  </si>
  <si>
    <t>Perdida de tiempo en marcado de Piezas</t>
  </si>
  <si>
    <t>No marcan las piezas Directas</t>
  </si>
  <si>
    <t>Perdida de piezas y Partes</t>
  </si>
  <si>
    <t>No hay infomracion cuando hay cambios en Ingenieria</t>
  </si>
  <si>
    <t>Suministro de datos erroneos a Strumis</t>
  </si>
  <si>
    <t>Se hacen actividades de otro departamento</t>
  </si>
  <si>
    <t>Falta Coordinación con Plantas</t>
  </si>
  <si>
    <t>Retrazo en el procesamiento de la requisiciones por sistema</t>
  </si>
  <si>
    <t>Requisiciones</t>
  </si>
  <si>
    <t>no corresponden al costo real</t>
  </si>
  <si>
    <t>Planificación y Control de Avance</t>
  </si>
  <si>
    <t>No hay control efectivo de avance</t>
  </si>
  <si>
    <t>Inventario Incompleto y no esta en Strumis</t>
  </si>
  <si>
    <t>Terreno en mal estado</t>
  </si>
  <si>
    <t>Exceso de HH de Control de Calidad</t>
  </si>
  <si>
    <t>Excceso de HH de Control de Calidad</t>
  </si>
  <si>
    <t>Perdida de HH por falta de marcas en Piezas</t>
  </si>
  <si>
    <t>Pérdida de Piezas</t>
  </si>
  <si>
    <t>Falta permanente de Consumibles por no solicitarlos a tiempo</t>
  </si>
  <si>
    <t>Mala Logistica por falta de equipos moviles</t>
  </si>
  <si>
    <t>Mal flujo de Trabajo por erronea ubicación de estaciones de trabajo</t>
  </si>
  <si>
    <t xml:space="preserve">Perdida de Tiempo en Marcaje no automatico </t>
  </si>
  <si>
    <t>Uso de procedimiento de Punta y Cola frena produccion y favorece a cometer  errores</t>
  </si>
  <si>
    <t>No piden perfiles y placas coordinado esto desbalancea la produccion de armables</t>
  </si>
  <si>
    <t xml:space="preserve">Armado en no secuencia para completar lotes </t>
  </si>
  <si>
    <t>Desorden de envio de piezas auemnta consumo de HH en Clasificaion</t>
  </si>
  <si>
    <t>Daño de piezas por mal manejo</t>
  </si>
  <si>
    <t>Cambios contantes de prioridad de envio</t>
  </si>
  <si>
    <t>Perdida de Pintura por mala aplicación</t>
  </si>
  <si>
    <t>Perdida de HH por mal tiempo</t>
  </si>
  <si>
    <t>Perdida de HH por equipos dañados</t>
  </si>
  <si>
    <t>Perdida de HH por Armables Incompletos</t>
  </si>
  <si>
    <t>Perdida de HH por falta de piezas armadas</t>
  </si>
  <si>
    <t>No hay datos</t>
  </si>
  <si>
    <t>Equipos dañados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</si>
</sst>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name val="Arial"/>
    </font>
    <font>
      <sz val="8"/>
      <name val="Arial"/>
      <family val="2"/>
    </font>
    <font>
      <sz val="11"/>
      <color theme="1"/>
      <name val="Century Gothic"/>
      <family val="2"/>
    </font>
    <font>
      <b/>
      <sz val="14"/>
      <color rgb="FF002060"/>
      <name val="Century Gothic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b/>
      <sz val="8"/>
      <name val="Century Gothic"/>
      <family val="2"/>
    </font>
    <font>
      <b/>
      <sz val="10"/>
      <color indexed="10"/>
      <name val="Century Gothic"/>
      <family val="2"/>
    </font>
    <font>
      <b/>
      <sz val="11"/>
      <color indexed="12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9"/>
      <color indexed="12"/>
      <name val="Century Gothic"/>
      <family val="2"/>
    </font>
    <font>
      <b/>
      <sz val="11"/>
      <color rgb="FF009999"/>
      <name val="Century Gothic"/>
      <family val="2"/>
    </font>
    <font>
      <b/>
      <sz val="20"/>
      <name val="Century Gothic"/>
      <family val="2"/>
    </font>
    <font>
      <b/>
      <sz val="10"/>
      <name val="Arial"/>
      <family val="2"/>
    </font>
    <font>
      <b/>
      <sz val="12"/>
      <name val="Century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sz val="10"/>
      <color rgb="FF388600"/>
      <name val="Arial"/>
      <family val="2"/>
    </font>
    <font>
      <b/>
      <sz val="14"/>
      <color rgb="FF388600"/>
      <name val="Arial"/>
      <family val="2"/>
    </font>
    <font>
      <b/>
      <sz val="12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1"/>
      <color rgb="FFC0000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2" fillId="0" borderId="0" xfId="0" applyFont="1"/>
    <xf numFmtId="0" fontId="4" fillId="0" borderId="0" xfId="0" applyFont="1"/>
    <xf numFmtId="0" fontId="5" fillId="3" borderId="28" xfId="0" applyFont="1" applyFill="1" applyBorder="1"/>
    <xf numFmtId="0" fontId="5" fillId="3" borderId="29" xfId="0" applyFont="1" applyFill="1" applyBorder="1"/>
    <xf numFmtId="0" fontId="6" fillId="3" borderId="5" xfId="0" applyFont="1" applyFill="1" applyBorder="1"/>
    <xf numFmtId="2" fontId="5" fillId="3" borderId="12" xfId="0" applyNumberFormat="1" applyFont="1" applyFill="1" applyBorder="1" applyAlignment="1">
      <alignment horizontal="left"/>
    </xf>
    <xf numFmtId="0" fontId="7" fillId="3" borderId="30" xfId="0" applyFont="1" applyFill="1" applyBorder="1"/>
    <xf numFmtId="0" fontId="8" fillId="3" borderId="31" xfId="0" applyFont="1" applyFill="1" applyBorder="1"/>
    <xf numFmtId="0" fontId="7" fillId="0" borderId="5" xfId="0" applyFont="1" applyBorder="1"/>
    <xf numFmtId="0" fontId="9" fillId="0" borderId="32" xfId="0" applyFont="1" applyBorder="1" applyAlignment="1">
      <alignment horizontal="center"/>
    </xf>
    <xf numFmtId="0" fontId="9" fillId="0" borderId="33" xfId="0" applyFont="1" applyBorder="1" applyAlignment="1">
      <alignment horizontal="center"/>
    </xf>
    <xf numFmtId="2" fontId="9" fillId="0" borderId="33" xfId="0" applyNumberFormat="1" applyFont="1" applyBorder="1" applyAlignment="1">
      <alignment horizontal="center"/>
    </xf>
    <xf numFmtId="0" fontId="7" fillId="0" borderId="30" xfId="0" applyFont="1" applyBorder="1"/>
    <xf numFmtId="0" fontId="4" fillId="0" borderId="34" xfId="0" applyFont="1" applyBorder="1"/>
    <xf numFmtId="0" fontId="10" fillId="2" borderId="1" xfId="0" applyFont="1" applyFill="1" applyBorder="1"/>
    <xf numFmtId="0" fontId="10" fillId="2" borderId="2" xfId="0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11" fillId="2" borderId="3" xfId="0" applyFont="1" applyFill="1" applyBorder="1"/>
    <xf numFmtId="0" fontId="11" fillId="2" borderId="10" xfId="0" applyFont="1" applyFill="1" applyBorder="1"/>
    <xf numFmtId="0" fontId="11" fillId="2" borderId="1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1" fillId="2" borderId="11" xfId="0" applyFont="1" applyFill="1" applyBorder="1"/>
    <xf numFmtId="0" fontId="11" fillId="2" borderId="2" xfId="0" applyFont="1" applyFill="1" applyBorder="1"/>
    <xf numFmtId="0" fontId="11" fillId="2" borderId="19" xfId="0" applyFont="1" applyFill="1" applyBorder="1"/>
    <xf numFmtId="0" fontId="11" fillId="2" borderId="4" xfId="0" applyFont="1" applyFill="1" applyBorder="1"/>
    <xf numFmtId="0" fontId="11" fillId="2" borderId="0" xfId="0" applyFont="1" applyFill="1"/>
    <xf numFmtId="0" fontId="6" fillId="2" borderId="5" xfId="0" applyFont="1" applyFill="1" applyBorder="1"/>
    <xf numFmtId="0" fontId="6" fillId="2" borderId="0" xfId="0" applyFont="1" applyFill="1"/>
    <xf numFmtId="0" fontId="6" fillId="2" borderId="6" xfId="0" applyFont="1" applyFill="1" applyBorder="1"/>
    <xf numFmtId="0" fontId="11" fillId="2" borderId="6" xfId="0" applyFont="1" applyFill="1" applyBorder="1"/>
    <xf numFmtId="0" fontId="11" fillId="2" borderId="12" xfId="0" applyFont="1" applyFill="1" applyBorder="1"/>
    <xf numFmtId="0" fontId="11" fillId="2" borderId="13" xfId="0" applyFont="1" applyFill="1" applyBorder="1" applyAlignment="1">
      <alignment horizontal="left"/>
    </xf>
    <xf numFmtId="0" fontId="11" fillId="2" borderId="14" xfId="0" applyFont="1" applyFill="1" applyBorder="1"/>
    <xf numFmtId="0" fontId="11" fillId="2" borderId="13" xfId="0" applyFont="1" applyFill="1" applyBorder="1"/>
    <xf numFmtId="0" fontId="12" fillId="2" borderId="0" xfId="0" applyFont="1" applyFill="1"/>
    <xf numFmtId="0" fontId="11" fillId="2" borderId="7" xfId="0" applyFont="1" applyFill="1" applyBorder="1"/>
    <xf numFmtId="0" fontId="11" fillId="2" borderId="15" xfId="0" applyFont="1" applyFill="1" applyBorder="1" applyAlignment="1">
      <alignment horizontal="left"/>
    </xf>
    <xf numFmtId="0" fontId="11" fillId="2" borderId="16" xfId="0" applyFont="1" applyFill="1" applyBorder="1" applyAlignment="1">
      <alignment horizontal="left"/>
    </xf>
    <xf numFmtId="0" fontId="11" fillId="2" borderId="17" xfId="0" applyFont="1" applyFill="1" applyBorder="1" applyAlignment="1">
      <alignment horizontal="left"/>
    </xf>
    <xf numFmtId="0" fontId="11" fillId="2" borderId="18" xfId="0" applyFont="1" applyFill="1" applyBorder="1"/>
    <xf numFmtId="0" fontId="11" fillId="2" borderId="6" xfId="0" applyFont="1" applyFill="1" applyBorder="1" applyAlignment="1">
      <alignment horizontal="left"/>
    </xf>
    <xf numFmtId="0" fontId="11" fillId="2" borderId="19" xfId="0" applyFont="1" applyFill="1" applyBorder="1" applyAlignment="1">
      <alignment horizontal="left"/>
    </xf>
    <xf numFmtId="0" fontId="11" fillId="2" borderId="8" xfId="0" applyFont="1" applyFill="1" applyBorder="1" applyAlignment="1">
      <alignment horizontal="left"/>
    </xf>
    <xf numFmtId="0" fontId="11" fillId="2" borderId="8" xfId="0" applyFont="1" applyFill="1" applyBorder="1"/>
    <xf numFmtId="0" fontId="11" fillId="2" borderId="9" xfId="0" applyFont="1" applyFill="1" applyBorder="1"/>
    <xf numFmtId="0" fontId="11" fillId="2" borderId="16" xfId="0" applyFont="1" applyFill="1" applyBorder="1"/>
    <xf numFmtId="0" fontId="11" fillId="2" borderId="14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11" fillId="2" borderId="17" xfId="0" applyFont="1" applyFill="1" applyBorder="1"/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22" xfId="0" applyFont="1" applyFill="1" applyBorder="1"/>
    <xf numFmtId="0" fontId="11" fillId="2" borderId="23" xfId="0" applyFont="1" applyFill="1" applyBorder="1"/>
    <xf numFmtId="0" fontId="11" fillId="2" borderId="24" xfId="0" applyFont="1" applyFill="1" applyBorder="1" applyAlignment="1">
      <alignment horizontal="left"/>
    </xf>
    <xf numFmtId="0" fontId="11" fillId="2" borderId="25" xfId="0" applyFont="1" applyFill="1" applyBorder="1" applyAlignment="1">
      <alignment horizontal="left"/>
    </xf>
    <xf numFmtId="0" fontId="11" fillId="2" borderId="25" xfId="0" applyFont="1" applyFill="1" applyBorder="1"/>
    <xf numFmtId="0" fontId="11" fillId="2" borderId="24" xfId="0" applyFont="1" applyFill="1" applyBorder="1"/>
    <xf numFmtId="0" fontId="13" fillId="2" borderId="26" xfId="0" applyFont="1" applyFill="1" applyBorder="1" applyAlignment="1">
      <alignment horizontal="center"/>
    </xf>
    <xf numFmtId="0" fontId="13" fillId="2" borderId="2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1" fillId="2" borderId="40" xfId="0" applyFont="1" applyFill="1" applyBorder="1" applyAlignment="1">
      <alignment horizontal="left"/>
    </xf>
    <xf numFmtId="0" fontId="11" fillId="2" borderId="41" xfId="0" applyFont="1" applyFill="1" applyBorder="1" applyAlignment="1">
      <alignment horizontal="left"/>
    </xf>
    <xf numFmtId="0" fontId="11" fillId="2" borderId="42" xfId="0" applyFont="1" applyFill="1" applyBorder="1"/>
    <xf numFmtId="0" fontId="12" fillId="2" borderId="5" xfId="0" applyFont="1" applyFill="1" applyBorder="1"/>
    <xf numFmtId="0" fontId="11" fillId="2" borderId="30" xfId="0" applyFont="1" applyFill="1" applyBorder="1" applyAlignment="1">
      <alignment horizontal="left"/>
    </xf>
    <xf numFmtId="0" fontId="11" fillId="2" borderId="5" xfId="0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4" fillId="0" borderId="28" xfId="0" applyFont="1" applyBorder="1"/>
    <xf numFmtId="0" fontId="4" fillId="0" borderId="47" xfId="0" applyFont="1" applyBorder="1"/>
    <xf numFmtId="0" fontId="4" fillId="0" borderId="29" xfId="0" applyFont="1" applyBorder="1"/>
    <xf numFmtId="0" fontId="4" fillId="0" borderId="5" xfId="0" applyFont="1" applyBorder="1"/>
    <xf numFmtId="0" fontId="4" fillId="0" borderId="12" xfId="0" applyFont="1" applyBorder="1"/>
    <xf numFmtId="0" fontId="4" fillId="0" borderId="30" xfId="0" applyFont="1" applyBorder="1"/>
    <xf numFmtId="0" fontId="4" fillId="0" borderId="8" xfId="0" applyFont="1" applyBorder="1"/>
    <xf numFmtId="0" fontId="4" fillId="0" borderId="31" xfId="0" applyFont="1" applyBorder="1"/>
    <xf numFmtId="0" fontId="5" fillId="3" borderId="0" xfId="0" applyFont="1" applyFill="1"/>
    <xf numFmtId="2" fontId="5" fillId="3" borderId="0" xfId="0" applyNumberFormat="1" applyFont="1" applyFill="1" applyAlignment="1">
      <alignment horizontal="left"/>
    </xf>
    <xf numFmtId="0" fontId="8" fillId="3" borderId="0" xfId="0" applyFont="1" applyFill="1"/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5" fillId="0" borderId="0" xfId="0" applyFont="1"/>
    <xf numFmtId="2" fontId="5" fillId="0" borderId="0" xfId="0" applyNumberFormat="1" applyFont="1" applyAlignment="1">
      <alignment horizontal="left"/>
    </xf>
    <xf numFmtId="0" fontId="8" fillId="0" borderId="0" xfId="0" applyFont="1"/>
    <xf numFmtId="0" fontId="7" fillId="0" borderId="0" xfId="0" applyFont="1"/>
    <xf numFmtId="0" fontId="15" fillId="0" borderId="12" xfId="0" applyFont="1" applyBorder="1"/>
    <xf numFmtId="0" fontId="15" fillId="0" borderId="0" xfId="0" applyFont="1"/>
    <xf numFmtId="0" fontId="7" fillId="0" borderId="12" xfId="0" applyFont="1" applyBorder="1"/>
    <xf numFmtId="0" fontId="4" fillId="0" borderId="32" xfId="0" applyFont="1" applyBorder="1"/>
    <xf numFmtId="0" fontId="4" fillId="0" borderId="33" xfId="0" applyFont="1" applyBorder="1"/>
    <xf numFmtId="0" fontId="7" fillId="0" borderId="32" xfId="0" applyFont="1" applyBorder="1" applyAlignment="1">
      <alignment horizontal="center" textRotation="90" wrapText="1"/>
    </xf>
    <xf numFmtId="0" fontId="16" fillId="0" borderId="33" xfId="0" applyFont="1" applyBorder="1" applyAlignment="1">
      <alignment horizontal="center" textRotation="90" wrapText="1"/>
    </xf>
    <xf numFmtId="0" fontId="16" fillId="0" borderId="33" xfId="0" applyFont="1" applyBorder="1" applyAlignment="1">
      <alignment horizontal="center" vertical="center" wrapText="1"/>
    </xf>
    <xf numFmtId="0" fontId="7" fillId="0" borderId="28" xfId="0" applyFont="1" applyBorder="1"/>
    <xf numFmtId="0" fontId="17" fillId="0" borderId="28" xfId="0" applyFont="1" applyBorder="1"/>
    <xf numFmtId="10" fontId="9" fillId="0" borderId="33" xfId="0" applyNumberFormat="1" applyFont="1" applyBorder="1" applyAlignment="1">
      <alignment horizontal="center"/>
    </xf>
    <xf numFmtId="0" fontId="17" fillId="3" borderId="28" xfId="0" applyFont="1" applyFill="1" applyBorder="1"/>
    <xf numFmtId="10" fontId="9" fillId="0" borderId="0" xfId="0" applyNumberFormat="1" applyFont="1" applyAlignment="1">
      <alignment horizontal="center"/>
    </xf>
    <xf numFmtId="4" fontId="4" fillId="0" borderId="0" xfId="0" applyNumberFormat="1" applyFont="1"/>
    <xf numFmtId="0" fontId="7" fillId="0" borderId="47" xfId="0" applyFont="1" applyBorder="1"/>
    <xf numFmtId="4" fontId="7" fillId="0" borderId="47" xfId="0" applyNumberFormat="1" applyFont="1" applyBorder="1"/>
    <xf numFmtId="0" fontId="7" fillId="0" borderId="29" xfId="0" applyFont="1" applyBorder="1"/>
    <xf numFmtId="0" fontId="7" fillId="0" borderId="8" xfId="0" applyFont="1" applyBorder="1"/>
    <xf numFmtId="0" fontId="7" fillId="0" borderId="31" xfId="0" applyFont="1" applyBorder="1"/>
    <xf numFmtId="0" fontId="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6" fillId="0" borderId="0" xfId="0" applyFont="1"/>
    <xf numFmtId="0" fontId="5" fillId="0" borderId="28" xfId="0" applyFont="1" applyBorder="1"/>
    <xf numFmtId="0" fontId="6" fillId="0" borderId="28" xfId="0" applyFont="1" applyBorder="1"/>
    <xf numFmtId="0" fontId="4" fillId="0" borderId="46" xfId="0" applyFont="1" applyBorder="1"/>
    <xf numFmtId="0" fontId="4" fillId="0" borderId="48" xfId="0" applyFont="1" applyBorder="1" applyAlignment="1">
      <alignment textRotation="66"/>
    </xf>
    <xf numFmtId="0" fontId="4" fillId="0" borderId="48" xfId="0" applyFont="1" applyBorder="1"/>
    <xf numFmtId="0" fontId="4" fillId="0" borderId="48" xfId="0" applyFont="1" applyBorder="1" applyAlignment="1">
      <alignment horizontal="center"/>
    </xf>
    <xf numFmtId="0" fontId="4" fillId="5" borderId="48" xfId="0" applyFont="1" applyFill="1" applyBorder="1"/>
    <xf numFmtId="0" fontId="4" fillId="5" borderId="48" xfId="0" applyFont="1" applyFill="1" applyBorder="1" applyAlignment="1">
      <alignment horizontal="center"/>
    </xf>
    <xf numFmtId="0" fontId="7" fillId="5" borderId="48" xfId="0" applyFont="1" applyFill="1" applyBorder="1"/>
    <xf numFmtId="0" fontId="20" fillId="0" borderId="0" xfId="0" applyFont="1"/>
    <xf numFmtId="0" fontId="0" fillId="0" borderId="0" xfId="0" applyAlignment="1">
      <alignment horizontal="center" vertical="center" wrapText="1"/>
    </xf>
    <xf numFmtId="0" fontId="0" fillId="0" borderId="48" xfId="0" applyBorder="1"/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left" wrapText="1"/>
    </xf>
    <xf numFmtId="0" fontId="0" fillId="0" borderId="50" xfId="0" applyBorder="1"/>
    <xf numFmtId="0" fontId="20" fillId="0" borderId="48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20" fillId="0" borderId="48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8" xfId="0" applyBorder="1" applyAlignment="1">
      <alignment textRotation="68"/>
    </xf>
    <xf numFmtId="0" fontId="20" fillId="0" borderId="48" xfId="0" applyFont="1" applyBorder="1" applyAlignment="1">
      <alignment textRotation="70"/>
    </xf>
    <xf numFmtId="0" fontId="20" fillId="0" borderId="48" xfId="0" applyFont="1" applyBorder="1"/>
    <xf numFmtId="0" fontId="0" fillId="0" borderId="17" xfId="0" applyBorder="1" applyAlignment="1">
      <alignment horizontal="center"/>
    </xf>
    <xf numFmtId="0" fontId="20" fillId="0" borderId="41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20" fillId="0" borderId="48" xfId="0" applyFont="1" applyBorder="1" applyAlignment="1">
      <alignment horizontal="left" wrapText="1"/>
    </xf>
    <xf numFmtId="0" fontId="0" fillId="0" borderId="48" xfId="0" applyBorder="1" applyAlignment="1">
      <alignment horizontal="center" vertical="center" textRotation="68"/>
    </xf>
    <xf numFmtId="0" fontId="20" fillId="0" borderId="48" xfId="0" applyFont="1" applyBorder="1" applyAlignment="1">
      <alignment horizontal="center" vertical="center" textRotation="70"/>
    </xf>
    <xf numFmtId="0" fontId="22" fillId="0" borderId="0" xfId="0" applyFont="1" applyAlignment="1">
      <alignment horizontal="left" wrapText="1"/>
    </xf>
    <xf numFmtId="0" fontId="22" fillId="0" borderId="48" xfId="0" applyFont="1" applyBorder="1"/>
    <xf numFmtId="10" fontId="0" fillId="0" borderId="48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20" fillId="0" borderId="48" xfId="0" applyNumberFormat="1" applyFont="1" applyBorder="1" applyAlignment="1">
      <alignment horizontal="center"/>
    </xf>
    <xf numFmtId="0" fontId="24" fillId="0" borderId="33" xfId="0" applyFont="1" applyBorder="1" applyAlignment="1">
      <alignment horizontal="center"/>
    </xf>
    <xf numFmtId="9" fontId="9" fillId="0" borderId="33" xfId="0" applyNumberFormat="1" applyFont="1" applyBorder="1" applyAlignment="1">
      <alignment horizontal="center"/>
    </xf>
    <xf numFmtId="4" fontId="0" fillId="0" borderId="0" xfId="0" applyNumberFormat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4" fontId="0" fillId="0" borderId="29" xfId="0" applyNumberFormat="1" applyBorder="1"/>
    <xf numFmtId="0" fontId="0" fillId="0" borderId="5" xfId="0" applyBorder="1"/>
    <xf numFmtId="4" fontId="0" fillId="0" borderId="12" xfId="0" applyNumberFormat="1" applyBorder="1"/>
    <xf numFmtId="0" fontId="20" fillId="0" borderId="28" xfId="0" applyFont="1" applyBorder="1"/>
    <xf numFmtId="0" fontId="25" fillId="0" borderId="0" xfId="0" applyFont="1"/>
    <xf numFmtId="0" fontId="26" fillId="0" borderId="0" xfId="0" applyFont="1"/>
    <xf numFmtId="0" fontId="20" fillId="0" borderId="30" xfId="0" applyFont="1" applyBorder="1"/>
    <xf numFmtId="0" fontId="0" fillId="6" borderId="0" xfId="0" applyFill="1"/>
    <xf numFmtId="0" fontId="5" fillId="6" borderId="28" xfId="0" applyFont="1" applyFill="1" applyBorder="1"/>
    <xf numFmtId="0" fontId="5" fillId="6" borderId="29" xfId="0" applyFont="1" applyFill="1" applyBorder="1"/>
    <xf numFmtId="0" fontId="6" fillId="6" borderId="5" xfId="0" applyFont="1" applyFill="1" applyBorder="1"/>
    <xf numFmtId="2" fontId="5" fillId="6" borderId="12" xfId="0" applyNumberFormat="1" applyFont="1" applyFill="1" applyBorder="1" applyAlignment="1">
      <alignment horizontal="left"/>
    </xf>
    <xf numFmtId="0" fontId="7" fillId="6" borderId="30" xfId="0" applyFont="1" applyFill="1" applyBorder="1"/>
    <xf numFmtId="0" fontId="8" fillId="6" borderId="31" xfId="0" applyFont="1" applyFill="1" applyBorder="1"/>
    <xf numFmtId="0" fontId="7" fillId="6" borderId="5" xfId="0" applyFont="1" applyFill="1" applyBorder="1"/>
    <xf numFmtId="0" fontId="9" fillId="6" borderId="32" xfId="0" applyFont="1" applyFill="1" applyBorder="1" applyAlignment="1">
      <alignment horizontal="center"/>
    </xf>
    <xf numFmtId="0" fontId="9" fillId="6" borderId="33" xfId="0" applyFont="1" applyFill="1" applyBorder="1" applyAlignment="1">
      <alignment horizontal="center"/>
    </xf>
    <xf numFmtId="2" fontId="9" fillId="6" borderId="33" xfId="0" applyNumberFormat="1" applyFont="1" applyFill="1" applyBorder="1" applyAlignment="1">
      <alignment horizontal="center"/>
    </xf>
    <xf numFmtId="0" fontId="4" fillId="6" borderId="34" xfId="0" applyFont="1" applyFill="1" applyBorder="1"/>
    <xf numFmtId="9" fontId="9" fillId="6" borderId="33" xfId="0" applyNumberFormat="1" applyFont="1" applyFill="1" applyBorder="1" applyAlignment="1">
      <alignment horizontal="center"/>
    </xf>
    <xf numFmtId="0" fontId="16" fillId="6" borderId="0" xfId="0" applyFont="1" applyFill="1" applyAlignment="1">
      <alignment horizontal="center" vertical="center" wrapText="1"/>
    </xf>
    <xf numFmtId="0" fontId="16" fillId="6" borderId="0" xfId="0" applyFont="1" applyFill="1"/>
    <xf numFmtId="0" fontId="16" fillId="0" borderId="0" xfId="0" applyFont="1"/>
    <xf numFmtId="0" fontId="21" fillId="0" borderId="0" xfId="0" applyFont="1"/>
    <xf numFmtId="0" fontId="30" fillId="0" borderId="0" xfId="0" applyFont="1" applyAlignment="1">
      <alignment horizontal="right"/>
    </xf>
    <xf numFmtId="0" fontId="30" fillId="0" borderId="0" xfId="0" applyFont="1"/>
    <xf numFmtId="0" fontId="30" fillId="6" borderId="0" xfId="0" applyFont="1" applyFill="1"/>
    <xf numFmtId="0" fontId="30" fillId="0" borderId="54" xfId="0" applyFont="1" applyBorder="1"/>
    <xf numFmtId="0" fontId="0" fillId="0" borderId="54" xfId="0" applyBorder="1"/>
    <xf numFmtId="0" fontId="28" fillId="0" borderId="54" xfId="0" applyFont="1" applyBorder="1"/>
    <xf numFmtId="0" fontId="30" fillId="0" borderId="56" xfId="0" applyFont="1" applyBorder="1"/>
    <xf numFmtId="0" fontId="0" fillId="0" borderId="55" xfId="0" applyBorder="1"/>
    <xf numFmtId="9" fontId="9" fillId="0" borderId="0" xfId="0" applyNumberFormat="1" applyFont="1" applyAlignment="1">
      <alignment horizontal="center"/>
    </xf>
    <xf numFmtId="0" fontId="22" fillId="7" borderId="32" xfId="0" applyFont="1" applyFill="1" applyBorder="1" applyAlignment="1">
      <alignment horizontal="center"/>
    </xf>
    <xf numFmtId="0" fontId="22" fillId="7" borderId="33" xfId="0" applyFont="1" applyFill="1" applyBorder="1" applyAlignment="1">
      <alignment horizontal="center"/>
    </xf>
    <xf numFmtId="0" fontId="22" fillId="7" borderId="34" xfId="0" applyFont="1" applyFill="1" applyBorder="1" applyAlignment="1">
      <alignment horizontal="center"/>
    </xf>
    <xf numFmtId="0" fontId="30" fillId="0" borderId="0" xfId="0" applyFont="1" applyAlignment="1">
      <alignment horizontal="left" wrapText="1"/>
    </xf>
    <xf numFmtId="2" fontId="31" fillId="0" borderId="54" xfId="0" applyNumberFormat="1" applyFont="1" applyBorder="1" applyAlignment="1">
      <alignment horizontal="left" vertical="top" wrapText="1"/>
    </xf>
    <xf numFmtId="0" fontId="28" fillId="0" borderId="54" xfId="0" applyFont="1" applyBorder="1" applyAlignment="1">
      <alignment horizontal="left" vertical="top" wrapText="1"/>
    </xf>
    <xf numFmtId="0" fontId="30" fillId="0" borderId="54" xfId="0" applyFont="1" applyBorder="1" applyAlignment="1">
      <alignment vertical="top" wrapText="1"/>
    </xf>
    <xf numFmtId="0" fontId="30" fillId="0" borderId="54" xfId="0" applyFont="1" applyBorder="1" applyAlignment="1">
      <alignment wrapText="1"/>
    </xf>
    <xf numFmtId="0" fontId="30" fillId="0" borderId="56" xfId="0" applyFont="1" applyBorder="1" applyAlignment="1">
      <alignment wrapText="1"/>
    </xf>
    <xf numFmtId="0" fontId="0" fillId="0" borderId="57" xfId="0" applyBorder="1" applyAlignment="1">
      <alignment wrapText="1"/>
    </xf>
    <xf numFmtId="0" fontId="0" fillId="0" borderId="55" xfId="0" applyBorder="1" applyAlignment="1">
      <alignment wrapText="1"/>
    </xf>
    <xf numFmtId="0" fontId="30" fillId="0" borderId="54" xfId="0" applyFont="1" applyBorder="1" applyAlignment="1">
      <alignment horizontal="left" vertical="top" wrapText="1"/>
    </xf>
    <xf numFmtId="0" fontId="31" fillId="0" borderId="54" xfId="0" applyFont="1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30" fillId="0" borderId="56" xfId="0" applyFont="1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29" fillId="0" borderId="0" xfId="0" applyFont="1" applyAlignment="1">
      <alignment wrapText="1"/>
    </xf>
    <xf numFmtId="0" fontId="29" fillId="0" borderId="55" xfId="0" applyFont="1" applyBorder="1" applyAlignment="1">
      <alignment wrapText="1"/>
    </xf>
    <xf numFmtId="0" fontId="0" fillId="0" borderId="57" xfId="0" applyBorder="1" applyAlignment="1">
      <alignment horizontal="left" vertical="center" wrapText="1"/>
    </xf>
    <xf numFmtId="0" fontId="0" fillId="0" borderId="54" xfId="0" applyBorder="1" applyAlignment="1">
      <alignment wrapText="1"/>
    </xf>
    <xf numFmtId="0" fontId="27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0" fillId="0" borderId="54" xfId="0" applyFont="1" applyBorder="1" applyAlignment="1">
      <alignment horizontal="left" vertical="center" wrapText="1"/>
    </xf>
    <xf numFmtId="0" fontId="21" fillId="7" borderId="51" xfId="0" applyFont="1" applyFill="1" applyBorder="1" applyAlignment="1">
      <alignment horizontal="center" vertical="center" wrapText="1"/>
    </xf>
    <xf numFmtId="0" fontId="21" fillId="7" borderId="52" xfId="0" applyFont="1" applyFill="1" applyBorder="1" applyAlignment="1">
      <alignment horizontal="center" vertical="center" wrapText="1"/>
    </xf>
    <xf numFmtId="0" fontId="21" fillId="7" borderId="53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21" fillId="7" borderId="3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1" fillId="7" borderId="5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43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0" borderId="45" xfId="0" applyFont="1" applyBorder="1" applyAlignment="1">
      <alignment horizontal="left"/>
    </xf>
    <xf numFmtId="0" fontId="14" fillId="4" borderId="43" xfId="0" applyFont="1" applyFill="1" applyBorder="1" applyAlignment="1">
      <alignment horizontal="left"/>
    </xf>
    <xf numFmtId="0" fontId="14" fillId="4" borderId="44" xfId="0" applyFont="1" applyFill="1" applyBorder="1" applyAlignment="1">
      <alignment horizontal="left"/>
    </xf>
    <xf numFmtId="0" fontId="14" fillId="4" borderId="45" xfId="0" applyFont="1" applyFill="1" applyBorder="1" applyAlignment="1">
      <alignment horizontal="left"/>
    </xf>
    <xf numFmtId="0" fontId="7" fillId="0" borderId="32" xfId="0" applyFont="1" applyBorder="1" applyAlignment="1">
      <alignment horizontal="center" textRotation="90" wrapText="1"/>
    </xf>
    <xf numFmtId="0" fontId="16" fillId="0" borderId="33" xfId="0" applyFont="1" applyBorder="1" applyAlignment="1">
      <alignment horizontal="center" textRotation="90" wrapText="1"/>
    </xf>
    <xf numFmtId="0" fontId="7" fillId="0" borderId="33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7" fillId="3" borderId="28" xfId="0" applyFont="1" applyFill="1" applyBorder="1" applyAlignment="1">
      <alignment wrapText="1"/>
    </xf>
    <xf numFmtId="0" fontId="23" fillId="0" borderId="29" xfId="0" applyFont="1" applyBorder="1" applyAlignment="1">
      <alignment wrapText="1"/>
    </xf>
    <xf numFmtId="0" fontId="22" fillId="0" borderId="28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1" fillId="2" borderId="37" xfId="0" applyFont="1" applyFill="1" applyBorder="1" applyAlignment="1">
      <alignment horizontal="center"/>
    </xf>
    <xf numFmtId="0" fontId="13" fillId="2" borderId="38" xfId="0" applyFont="1" applyFill="1" applyBorder="1" applyAlignment="1">
      <alignment horizontal="center"/>
    </xf>
    <xf numFmtId="0" fontId="13" fillId="2" borderId="39" xfId="0" applyFont="1" applyFill="1" applyBorder="1" applyAlignment="1">
      <alignment horizontal="center"/>
    </xf>
    <xf numFmtId="0" fontId="13" fillId="2" borderId="40" xfId="0" applyFont="1" applyFill="1" applyBorder="1" applyAlignment="1">
      <alignment horizontal="center"/>
    </xf>
    <xf numFmtId="14" fontId="13" fillId="2" borderId="40" xfId="0" applyNumberFormat="1" applyFont="1" applyFill="1" applyBorder="1" applyAlignment="1">
      <alignment horizontal="center"/>
    </xf>
    <xf numFmtId="14" fontId="13" fillId="2" borderId="39" xfId="0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wrapText="1"/>
    </xf>
    <xf numFmtId="0" fontId="20" fillId="0" borderId="4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4.png"/><Relationship Id="rId3" Type="http://schemas.openxmlformats.org/officeDocument/2006/relationships/image" Target="../media/image7.wmf"/><Relationship Id="rId7" Type="http://schemas.openxmlformats.org/officeDocument/2006/relationships/image" Target="../media/image5.png"/><Relationship Id="rId12" Type="http://schemas.openxmlformats.org/officeDocument/2006/relationships/image" Target="../media/image4.png"/><Relationship Id="rId2" Type="http://schemas.openxmlformats.org/officeDocument/2006/relationships/image" Target="../media/image6.wmf"/><Relationship Id="rId1" Type="http://schemas.openxmlformats.org/officeDocument/2006/relationships/image" Target="../media/image2.png"/><Relationship Id="rId6" Type="http://schemas.openxmlformats.org/officeDocument/2006/relationships/image" Target="../media/image10.wmf"/><Relationship Id="rId11" Type="http://schemas.openxmlformats.org/officeDocument/2006/relationships/image" Target="../media/image13.png"/><Relationship Id="rId5" Type="http://schemas.openxmlformats.org/officeDocument/2006/relationships/image" Target="../media/image9.wmf"/><Relationship Id="rId10" Type="http://schemas.openxmlformats.org/officeDocument/2006/relationships/image" Target="../media/image3.png"/><Relationship Id="rId4" Type="http://schemas.openxmlformats.org/officeDocument/2006/relationships/image" Target="../media/image8.wmf"/><Relationship Id="rId9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9525</xdr:colOff>
      <xdr:row>3</xdr:row>
      <xdr:rowOff>100330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E13ED9B-5F4F-4305-B79A-24CBCB1F7E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62875" cy="72898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9525</xdr:colOff>
      <xdr:row>3</xdr:row>
      <xdr:rowOff>95250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DD90101-25BF-4C1E-B62C-DC1FA9BFF408}"/>
            </a:ext>
          </a:extLst>
        </xdr:cNvPr>
        <xdr:cNvSpPr txBox="1"/>
      </xdr:nvSpPr>
      <xdr:spPr>
        <a:xfrm>
          <a:off x="0" y="0"/>
          <a:ext cx="7762875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spcAft>
              <a:spcPts val="0"/>
            </a:spcAft>
            <a:tabLst>
              <a:tab pos="2971800" algn="ctr"/>
              <a:tab pos="5943600" algn="r"/>
            </a:tabLst>
          </a:pPr>
          <a:endParaRPr lang="es-ES" sz="1000" b="1">
            <a:solidFill>
              <a:srgbClr val="ED7D31"/>
            </a:solidFill>
            <a:effectLst/>
            <a:latin typeface="Century Gothic" panose="020B0502020202020204" pitchFamily="34" charset="0"/>
            <a:ea typeface="Times New Roman" panose="02020603050405020304" pitchFamily="18" charset="0"/>
            <a:cs typeface="Times New Roman" panose="02020603050405020304" pitchFamily="18" charset="0"/>
          </a:endParaRPr>
        </a:p>
        <a:p>
          <a:pPr algn="r"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s-MX" sz="1200" b="1" baseline="0">
              <a:solidFill>
                <a:srgbClr val="FFFFFF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Times New Roman" panose="02020603050405020304" pitchFamily="18" charset="0"/>
            </a:rPr>
            <a:t>Pensamiento Esbelto</a:t>
          </a:r>
        </a:p>
      </xdr:txBody>
    </xdr:sp>
    <xdr:clientData/>
  </xdr:twoCellAnchor>
  <xdr:twoCellAnchor>
    <xdr:from>
      <xdr:col>1</xdr:col>
      <xdr:colOff>275086</xdr:colOff>
      <xdr:row>11</xdr:row>
      <xdr:rowOff>16904</xdr:rowOff>
    </xdr:from>
    <xdr:to>
      <xdr:col>9</xdr:col>
      <xdr:colOff>475506</xdr:colOff>
      <xdr:row>17</xdr:row>
      <xdr:rowOff>151203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B8347102-84E5-DD38-3B8B-6BD5202F65DE}"/>
            </a:ext>
          </a:extLst>
        </xdr:cNvPr>
        <xdr:cNvSpPr>
          <a:spLocks noChangeArrowheads="1"/>
        </xdr:cNvSpPr>
      </xdr:nvSpPr>
      <xdr:spPr bwMode="auto">
        <a:xfrm>
          <a:off x="484636" y="2569604"/>
          <a:ext cx="6829820" cy="1391599"/>
        </a:xfrm>
        <a:prstGeom prst="rect">
          <a:avLst/>
        </a:prstGeom>
        <a:solidFill>
          <a:srgbClr val="1A1A1A">
            <a:lumMod val="20000"/>
            <a:lumOff val="80000"/>
          </a:srgbClr>
        </a:solidFill>
        <a:ln>
          <a:noFill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defRPr lang="es-ES_tradnl"/>
          </a:defPPr>
          <a:lvl1pPr marL="0" marR="0" lvl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L="457200" marR="0" lvl="1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L="914400" marR="0" lvl="2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L="1371600" marR="0" lvl="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L="1828800" marR="0" lvl="4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L="2286000" marR="0" lvl="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L="2743200" marR="0" lvl="6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L="3200400" marR="0" lvl="7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L="3657600" marR="0" lvl="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s-ES" altLang="es-MX" sz="1050" b="1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Indicaciones</a:t>
          </a:r>
        </a:p>
        <a:p>
          <a:pPr marL="0" marR="0" lvl="0" indent="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endParaRPr kumimoji="0" lang="es-MX" altLang="es-MX" sz="1600" b="0" i="0" u="none" strike="noStrike" kern="0" cap="none" spc="0" normalizeH="0" baseline="0">
            <a:ln>
              <a:noFill/>
            </a:ln>
            <a:solidFill>
              <a:srgbClr val="1A9988"/>
            </a:solidFill>
            <a:effectLst/>
            <a:uLnTx/>
            <a:uFillTx/>
            <a:latin typeface="Arial"/>
            <a:cs typeface="Arial"/>
            <a:sym typeface="Arial"/>
          </a:endParaRPr>
        </a:p>
        <a:p>
          <a:pPr marL="285750" marR="0" lvl="0" indent="-28575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es-ES" altLang="es-MX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La clave y nombre dado al archivo, debe mantenerse únicamente reemplazando “</a:t>
          </a:r>
          <a:r>
            <a:rPr kumimoji="0" lang="es-ES" altLang="es-MX" sz="1100" b="1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Nombre del Participante</a:t>
          </a:r>
          <a:r>
            <a:rPr kumimoji="0" lang="es-ES" altLang="es-MX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” con tu nombre completo</a:t>
          </a:r>
        </a:p>
        <a:p>
          <a:pPr marL="285750" marR="0" lvl="0" indent="-28575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endParaRPr kumimoji="0" lang="es-MX" altLang="es-MX" sz="1400" b="0" i="0" u="none" strike="noStrike" kern="0" cap="none" spc="0" normalizeH="0" baseline="0">
            <a:ln>
              <a:noFill/>
            </a:ln>
            <a:solidFill>
              <a:srgbClr val="1A9988"/>
            </a:solidFill>
            <a:effectLst/>
            <a:uLnTx/>
            <a:uFillTx/>
            <a:latin typeface="Arial"/>
            <a:cs typeface="Arial"/>
            <a:sym typeface="Arial"/>
          </a:endParaRPr>
        </a:p>
        <a:p>
          <a:pPr marL="285750" marR="0" lvl="0" indent="-285750" algn="l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 typeface="Arial" panose="020B0604020202020204" pitchFamily="34" charset="0"/>
            <a:buChar char="•"/>
            <a:tabLst/>
            <a:defRPr/>
          </a:pPr>
          <a:r>
            <a:rPr kumimoji="0" lang="es-ES" altLang="es-MX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Una vez terminado el </a:t>
          </a:r>
          <a:r>
            <a:rPr kumimoji="0" lang="es-ES" altLang="es-MX" sz="1100" b="1" i="0" u="none" strike="noStrike" kern="0" cap="none" spc="0" normalizeH="0" baseline="0">
              <a:ln>
                <a:noFill/>
              </a:ln>
              <a:solidFill>
                <a:srgbClr val="ED7D31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Formato de Entrega del Reto</a:t>
          </a:r>
          <a:r>
            <a:rPr kumimoji="0" lang="es-ES" altLang="es-MX" sz="1100" b="0" i="0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, deberás de entregarlo en plataforma, en la tarea del módulo correspondiente. Sección: </a:t>
          </a:r>
          <a:r>
            <a:rPr kumimoji="0" lang="es-ES" altLang="es-MX" sz="1100" b="1" i="0" u="none" strike="noStrike" kern="0" cap="none" spc="0" normalizeH="0" baseline="0">
              <a:ln>
                <a:noFill/>
              </a:ln>
              <a:solidFill>
                <a:srgbClr val="009999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Aplica en el trabajo | Reto </a:t>
          </a:r>
          <a:endParaRPr kumimoji="0" lang="es-MX" altLang="es-MX" sz="1400" b="0" i="0" u="none" strike="noStrike" kern="0" cap="none" spc="0" normalizeH="0" baseline="0">
            <a:ln>
              <a:noFill/>
            </a:ln>
            <a:solidFill>
              <a:srgbClr val="1A9988"/>
            </a:solidFill>
            <a:effectLst/>
            <a:uLnTx/>
            <a:uFillTx/>
            <a:latin typeface="Arial"/>
            <a:cs typeface="Arial"/>
            <a:sym typeface="Arial"/>
          </a:endParaRPr>
        </a:p>
      </xdr:txBody>
    </xdr:sp>
    <xdr:clientData/>
  </xdr:twoCellAnchor>
  <xdr:twoCellAnchor>
    <xdr:from>
      <xdr:col>4</xdr:col>
      <xdr:colOff>42571</xdr:colOff>
      <xdr:row>8</xdr:row>
      <xdr:rowOff>0</xdr:rowOff>
    </xdr:from>
    <xdr:to>
      <xdr:col>10</xdr:col>
      <xdr:colOff>108537</xdr:colOff>
      <xdr:row>10</xdr:row>
      <xdr:rowOff>19097</xdr:rowOff>
    </xdr:to>
    <xdr:sp macro="" textlink="">
      <xdr:nvSpPr>
        <xdr:cNvPr id="5" name="CuadroTexto 3">
          <a:extLst>
            <a:ext uri="{FF2B5EF4-FFF2-40B4-BE49-F238E27FC236}">
              <a16:creationId xmlns:a16="http://schemas.microsoft.com/office/drawing/2014/main" id="{F2266EC4-65A9-3EC0-F218-FB6F03E95043}"/>
            </a:ext>
          </a:extLst>
        </xdr:cNvPr>
        <xdr:cNvSpPr txBox="1"/>
      </xdr:nvSpPr>
      <xdr:spPr>
        <a:xfrm>
          <a:off x="2738146" y="1924050"/>
          <a:ext cx="5038016" cy="438197"/>
        </a:xfrm>
        <a:prstGeom prst="rect">
          <a:avLst/>
        </a:prstGeom>
        <a:noFill/>
      </xdr:spPr>
      <xdr:txBody>
        <a:bodyPr wrap="square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defRPr lang="es-ES_tradnl"/>
          </a:defPPr>
          <a:lvl1pPr marL="0" marR="0" lvl="0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L="457200" marR="0" lvl="1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L="914400" marR="0" lvl="2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L="1371600" marR="0" lvl="3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L="1828800" marR="0" lvl="4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L="2286000" marR="0" lvl="5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L="2743200" marR="0" lvl="6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L="3200400" marR="0" lvl="7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L="3657600" marR="0" lvl="8" algn="l" defTabSz="914400" rtl="0" eaLnBrk="1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kern="1200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pPr marL="0" marR="0" lvl="0" indent="0" algn="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s-ES" altLang="es-MX" sz="1050" b="0" i="1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Entregable final del reto</a:t>
          </a:r>
          <a:endParaRPr kumimoji="0" lang="es-MX" altLang="es-MX" sz="1400" b="0" i="0" u="none" strike="noStrike" kern="0" cap="none" spc="0" normalizeH="0" baseline="0">
            <a:ln>
              <a:noFill/>
            </a:ln>
            <a:solidFill>
              <a:srgbClr val="1A9988"/>
            </a:solidFill>
            <a:effectLst/>
            <a:uLnTx/>
            <a:uFillTx/>
            <a:latin typeface="Arial"/>
            <a:cs typeface="Arial"/>
            <a:sym typeface="Arial"/>
          </a:endParaRPr>
        </a:p>
        <a:p>
          <a:pPr marL="0" marR="0" lvl="0" indent="0" algn="r" defTabSz="914400" rtl="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s-ES" altLang="es-MX" sz="1050" b="0" i="1" u="none" strike="noStrike" kern="0" cap="none" spc="0" normalizeH="0" baseline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entury Gothic" panose="020B0502020202020204" pitchFamily="34" charset="0"/>
              <a:ea typeface="Arial" panose="020B0604020202020204" pitchFamily="34" charset="0"/>
              <a:cs typeface="Arial" panose="020B0604020202020204" pitchFamily="34" charset="0"/>
              <a:sym typeface="Arial"/>
            </a:rPr>
            <a:t>Documento editable por el participante</a:t>
          </a:r>
          <a:endParaRPr kumimoji="0" lang="es-MX" altLang="es-MX" sz="1400" b="0" i="0" u="none" strike="noStrike" kern="0" cap="none" spc="0" normalizeH="0" baseline="0">
            <a:ln>
              <a:noFill/>
            </a:ln>
            <a:solidFill>
              <a:srgbClr val="1A9988"/>
            </a:solidFill>
            <a:effectLst/>
            <a:uLnTx/>
            <a:uFillTx/>
            <a:latin typeface="Arial"/>
            <a:cs typeface="Arial"/>
            <a:sym typeface="Arial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47</xdr:row>
      <xdr:rowOff>38100</xdr:rowOff>
    </xdr:from>
    <xdr:to>
      <xdr:col>3</xdr:col>
      <xdr:colOff>266700</xdr:colOff>
      <xdr:row>47</xdr:row>
      <xdr:rowOff>219075</xdr:rowOff>
    </xdr:to>
    <xdr:grpSp>
      <xdr:nvGrpSpPr>
        <xdr:cNvPr id="1383" name="Group 232">
          <a:extLst>
            <a:ext uri="{FF2B5EF4-FFF2-40B4-BE49-F238E27FC236}">
              <a16:creationId xmlns:a16="http://schemas.microsoft.com/office/drawing/2014/main" id="{83971626-6951-4DFF-BB8C-1BE545B43E2F}"/>
            </a:ext>
          </a:extLst>
        </xdr:cNvPr>
        <xdr:cNvGrpSpPr>
          <a:grpSpLocks/>
        </xdr:cNvGrpSpPr>
      </xdr:nvGrpSpPr>
      <xdr:grpSpPr bwMode="auto">
        <a:xfrm>
          <a:off x="2402205" y="8321040"/>
          <a:ext cx="219075" cy="180975"/>
          <a:chOff x="304" y="241"/>
          <a:chExt cx="29" cy="29"/>
        </a:xfrm>
      </xdr:grpSpPr>
      <xdr:sp macro="" textlink="">
        <xdr:nvSpPr>
          <xdr:cNvPr id="1400" name="Oval 233">
            <a:extLst>
              <a:ext uri="{FF2B5EF4-FFF2-40B4-BE49-F238E27FC236}">
                <a16:creationId xmlns:a16="http://schemas.microsoft.com/office/drawing/2014/main" id="{FEED6636-B16B-4980-BCC4-42A76CDE24A0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01" name="AutoShape 234">
            <a:extLst>
              <a:ext uri="{FF2B5EF4-FFF2-40B4-BE49-F238E27FC236}">
                <a16:creationId xmlns:a16="http://schemas.microsoft.com/office/drawing/2014/main" id="{9FE945A3-BB0E-43B3-83F2-EEF73A4098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38100</xdr:colOff>
      <xdr:row>21</xdr:row>
      <xdr:rowOff>7620</xdr:rowOff>
    </xdr:from>
    <xdr:to>
      <xdr:col>3</xdr:col>
      <xdr:colOff>384810</xdr:colOff>
      <xdr:row>46</xdr:row>
      <xdr:rowOff>0</xdr:rowOff>
    </xdr:to>
    <xdr:sp macro="" textlink="">
      <xdr:nvSpPr>
        <xdr:cNvPr id="1384" name="AutoShape 235">
          <a:extLst>
            <a:ext uri="{FF2B5EF4-FFF2-40B4-BE49-F238E27FC236}">
              <a16:creationId xmlns:a16="http://schemas.microsoft.com/office/drawing/2014/main" id="{CEF14620-6203-4C4A-B8A3-5A1ED9C4C3EB}"/>
            </a:ext>
          </a:extLst>
        </xdr:cNvPr>
        <xdr:cNvSpPr>
          <a:spLocks noChangeArrowheads="1"/>
        </xdr:cNvSpPr>
      </xdr:nvSpPr>
      <xdr:spPr bwMode="auto">
        <a:xfrm rot="5400000">
          <a:off x="318135" y="5633085"/>
          <a:ext cx="449580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9524</xdr:colOff>
      <xdr:row>46</xdr:row>
      <xdr:rowOff>104775</xdr:rowOff>
    </xdr:from>
    <xdr:to>
      <xdr:col>6</xdr:col>
      <xdr:colOff>769619</xdr:colOff>
      <xdr:row>48</xdr:row>
      <xdr:rowOff>9525</xdr:rowOff>
    </xdr:to>
    <xdr:sp macro="" textlink="">
      <xdr:nvSpPr>
        <xdr:cNvPr id="1385" name="AutoShape 236">
          <a:extLst>
            <a:ext uri="{FF2B5EF4-FFF2-40B4-BE49-F238E27FC236}">
              <a16:creationId xmlns:a16="http://schemas.microsoft.com/office/drawing/2014/main" id="{92CE7345-D1A9-47E9-80C6-E655165521B4}"/>
            </a:ext>
          </a:extLst>
        </xdr:cNvPr>
        <xdr:cNvSpPr>
          <a:spLocks noChangeArrowheads="1"/>
        </xdr:cNvSpPr>
      </xdr:nvSpPr>
      <xdr:spPr bwMode="auto">
        <a:xfrm>
          <a:off x="3148964" y="8159115"/>
          <a:ext cx="154495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782955</xdr:colOff>
      <xdr:row>110</xdr:row>
      <xdr:rowOff>121920</xdr:rowOff>
    </xdr:from>
    <xdr:to>
      <xdr:col>12</xdr:col>
      <xdr:colOff>782955</xdr:colOff>
      <xdr:row>113</xdr:row>
      <xdr:rowOff>93345</xdr:rowOff>
    </xdr:to>
    <xdr:grpSp>
      <xdr:nvGrpSpPr>
        <xdr:cNvPr id="1386" name="Group 245">
          <a:extLst>
            <a:ext uri="{FF2B5EF4-FFF2-40B4-BE49-F238E27FC236}">
              <a16:creationId xmlns:a16="http://schemas.microsoft.com/office/drawing/2014/main" id="{45278C2B-1356-4032-8D01-FCCC24FBFBB6}"/>
            </a:ext>
          </a:extLst>
        </xdr:cNvPr>
        <xdr:cNvGrpSpPr>
          <a:grpSpLocks/>
        </xdr:cNvGrpSpPr>
      </xdr:nvGrpSpPr>
      <xdr:grpSpPr bwMode="auto">
        <a:xfrm>
          <a:off x="7412355" y="19773900"/>
          <a:ext cx="2964180" cy="474345"/>
          <a:chOff x="79" y="968"/>
          <a:chExt cx="303" cy="36"/>
        </a:xfrm>
      </xdr:grpSpPr>
      <xdr:sp macro="" textlink="">
        <xdr:nvSpPr>
          <xdr:cNvPr id="1395" name="Line 237">
            <a:extLst>
              <a:ext uri="{FF2B5EF4-FFF2-40B4-BE49-F238E27FC236}">
                <a16:creationId xmlns:a16="http://schemas.microsoft.com/office/drawing/2014/main" id="{83E28750-BE57-4DE1-9E89-C463E2B5A941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6" name="Line 241">
            <a:extLst>
              <a:ext uri="{FF2B5EF4-FFF2-40B4-BE49-F238E27FC236}">
                <a16:creationId xmlns:a16="http://schemas.microsoft.com/office/drawing/2014/main" id="{8E0283C2-D47C-4D8C-AB40-C58923CDE9D1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7" name="Line 242">
            <a:extLst>
              <a:ext uri="{FF2B5EF4-FFF2-40B4-BE49-F238E27FC236}">
                <a16:creationId xmlns:a16="http://schemas.microsoft.com/office/drawing/2014/main" id="{CB863649-FA69-4608-BFEB-DB3B95D6A008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8" name="Line 243">
            <a:extLst>
              <a:ext uri="{FF2B5EF4-FFF2-40B4-BE49-F238E27FC236}">
                <a16:creationId xmlns:a16="http://schemas.microsoft.com/office/drawing/2014/main" id="{0C48F587-93CF-4D80-A968-CCE01821B021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9" name="Line 244">
            <a:extLst>
              <a:ext uri="{FF2B5EF4-FFF2-40B4-BE49-F238E27FC236}">
                <a16:creationId xmlns:a16="http://schemas.microsoft.com/office/drawing/2014/main" id="{D883740D-9CC6-44E1-B535-22E88BDA6798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19050</xdr:colOff>
      <xdr:row>31</xdr:row>
      <xdr:rowOff>19050</xdr:rowOff>
    </xdr:from>
    <xdr:to>
      <xdr:col>20</xdr:col>
      <xdr:colOff>47625</xdr:colOff>
      <xdr:row>34</xdr:row>
      <xdr:rowOff>0</xdr:rowOff>
    </xdr:to>
    <xdr:grpSp>
      <xdr:nvGrpSpPr>
        <xdr:cNvPr id="1387" name="Group 256">
          <a:extLst>
            <a:ext uri="{FF2B5EF4-FFF2-40B4-BE49-F238E27FC236}">
              <a16:creationId xmlns:a16="http://schemas.microsoft.com/office/drawing/2014/main" id="{0F343443-8156-4D78-AFDB-7833358E921F}"/>
            </a:ext>
          </a:extLst>
        </xdr:cNvPr>
        <xdr:cNvGrpSpPr>
          <a:grpSpLocks/>
        </xdr:cNvGrpSpPr>
      </xdr:nvGrpSpPr>
      <xdr:grpSpPr bwMode="auto">
        <a:xfrm>
          <a:off x="15106650" y="5421630"/>
          <a:ext cx="813435" cy="483870"/>
          <a:chOff x="267" y="335"/>
          <a:chExt cx="150" cy="88"/>
        </a:xfrm>
      </xdr:grpSpPr>
      <xdr:sp macro="" textlink="">
        <xdr:nvSpPr>
          <xdr:cNvPr id="1281" name="Rectangle 257">
            <a:extLst>
              <a:ext uri="{FF2B5EF4-FFF2-40B4-BE49-F238E27FC236}">
                <a16:creationId xmlns:a16="http://schemas.microsoft.com/office/drawing/2014/main" id="{E8CF3BEF-8922-4865-9570-BFAD0A2F6923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1389" name="AutoShape 258">
            <a:extLst>
              <a:ext uri="{FF2B5EF4-FFF2-40B4-BE49-F238E27FC236}">
                <a16:creationId xmlns:a16="http://schemas.microsoft.com/office/drawing/2014/main" id="{2A1002B5-5E6D-4FC2-91D7-5242D2DE5283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0" name="AutoShape 259">
            <a:extLst>
              <a:ext uri="{FF2B5EF4-FFF2-40B4-BE49-F238E27FC236}">
                <a16:creationId xmlns:a16="http://schemas.microsoft.com/office/drawing/2014/main" id="{A564DDCB-DDC2-45A3-8A2B-C361AB17DDD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1" name="AutoShape 260">
            <a:extLst>
              <a:ext uri="{FF2B5EF4-FFF2-40B4-BE49-F238E27FC236}">
                <a16:creationId xmlns:a16="http://schemas.microsoft.com/office/drawing/2014/main" id="{AF73395D-DF49-4723-B242-3B15F2F5078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2" name="AutoShape 261">
            <a:extLst>
              <a:ext uri="{FF2B5EF4-FFF2-40B4-BE49-F238E27FC236}">
                <a16:creationId xmlns:a16="http://schemas.microsoft.com/office/drawing/2014/main" id="{B9EDE75F-BCD4-435E-AE78-52233F48134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3" name="AutoShape 262">
            <a:extLst>
              <a:ext uri="{FF2B5EF4-FFF2-40B4-BE49-F238E27FC236}">
                <a16:creationId xmlns:a16="http://schemas.microsoft.com/office/drawing/2014/main" id="{97146A34-7EC0-4254-A021-0DA19F4A6688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94" name="AutoShape 263">
            <a:extLst>
              <a:ext uri="{FF2B5EF4-FFF2-40B4-BE49-F238E27FC236}">
                <a16:creationId xmlns:a16="http://schemas.microsoft.com/office/drawing/2014/main" id="{2EB320B5-F220-4BE9-B039-1D7BD2443230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47625</xdr:colOff>
      <xdr:row>36</xdr:row>
      <xdr:rowOff>38100</xdr:rowOff>
    </xdr:from>
    <xdr:to>
      <xdr:col>10</xdr:col>
      <xdr:colOff>266700</xdr:colOff>
      <xdr:row>36</xdr:row>
      <xdr:rowOff>165735</xdr:rowOff>
    </xdr:to>
    <xdr:grpSp>
      <xdr:nvGrpSpPr>
        <xdr:cNvPr id="6" name="Group 232">
          <a:extLst>
            <a:ext uri="{FF2B5EF4-FFF2-40B4-BE49-F238E27FC236}">
              <a16:creationId xmlns:a16="http://schemas.microsoft.com/office/drawing/2014/main" id="{1BB7B1F0-1E9E-4544-A474-17FF15829728}"/>
            </a:ext>
          </a:extLst>
        </xdr:cNvPr>
        <xdr:cNvGrpSpPr>
          <a:grpSpLocks/>
        </xdr:cNvGrpSpPr>
      </xdr:nvGrpSpPr>
      <xdr:grpSpPr bwMode="auto">
        <a:xfrm>
          <a:off x="8246745" y="6339840"/>
          <a:ext cx="219075" cy="127635"/>
          <a:chOff x="304" y="241"/>
          <a:chExt cx="29" cy="29"/>
        </a:xfrm>
      </xdr:grpSpPr>
      <xdr:sp macro="" textlink="">
        <xdr:nvSpPr>
          <xdr:cNvPr id="7" name="Oval 233">
            <a:extLst>
              <a:ext uri="{FF2B5EF4-FFF2-40B4-BE49-F238E27FC236}">
                <a16:creationId xmlns:a16="http://schemas.microsoft.com/office/drawing/2014/main" id="{B4175289-B01A-9AA2-C7DA-936DCE9D31F7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" name="AutoShape 234">
            <a:extLst>
              <a:ext uri="{FF2B5EF4-FFF2-40B4-BE49-F238E27FC236}">
                <a16:creationId xmlns:a16="http://schemas.microsoft.com/office/drawing/2014/main" id="{DEED0711-C03C-901A-07EA-1F2C4EDF74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967741</xdr:colOff>
      <xdr:row>35</xdr:row>
      <xdr:rowOff>129540</xdr:rowOff>
    </xdr:from>
    <xdr:to>
      <xdr:col>10</xdr:col>
      <xdr:colOff>30481</xdr:colOff>
      <xdr:row>37</xdr:row>
      <xdr:rowOff>55245</xdr:rowOff>
    </xdr:to>
    <xdr:sp macro="" textlink="">
      <xdr:nvSpPr>
        <xdr:cNvPr id="9" name="AutoShape 235">
          <a:extLst>
            <a:ext uri="{FF2B5EF4-FFF2-40B4-BE49-F238E27FC236}">
              <a16:creationId xmlns:a16="http://schemas.microsoft.com/office/drawing/2014/main" id="{5FBD0F5E-A1C7-427F-ADE4-35225E9364A3}"/>
            </a:ext>
          </a:extLst>
        </xdr:cNvPr>
        <xdr:cNvSpPr>
          <a:spLocks noChangeArrowheads="1"/>
        </xdr:cNvSpPr>
      </xdr:nvSpPr>
      <xdr:spPr bwMode="auto">
        <a:xfrm>
          <a:off x="5676901" y="6202680"/>
          <a:ext cx="1767840" cy="3676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63</xdr:row>
      <xdr:rowOff>38100</xdr:rowOff>
    </xdr:from>
    <xdr:to>
      <xdr:col>10</xdr:col>
      <xdr:colOff>266700</xdr:colOff>
      <xdr:row>63</xdr:row>
      <xdr:rowOff>165735</xdr:rowOff>
    </xdr:to>
    <xdr:grpSp>
      <xdr:nvGrpSpPr>
        <xdr:cNvPr id="10" name="Group 232">
          <a:extLst>
            <a:ext uri="{FF2B5EF4-FFF2-40B4-BE49-F238E27FC236}">
              <a16:creationId xmlns:a16="http://schemas.microsoft.com/office/drawing/2014/main" id="{65BE11A3-67F0-417B-AE47-F4374D178527}"/>
            </a:ext>
          </a:extLst>
        </xdr:cNvPr>
        <xdr:cNvGrpSpPr>
          <a:grpSpLocks/>
        </xdr:cNvGrpSpPr>
      </xdr:nvGrpSpPr>
      <xdr:grpSpPr bwMode="auto">
        <a:xfrm>
          <a:off x="8246745" y="11254740"/>
          <a:ext cx="219075" cy="127635"/>
          <a:chOff x="304" y="241"/>
          <a:chExt cx="29" cy="29"/>
        </a:xfrm>
      </xdr:grpSpPr>
      <xdr:sp macro="" textlink="">
        <xdr:nvSpPr>
          <xdr:cNvPr id="11" name="Oval 233">
            <a:extLst>
              <a:ext uri="{FF2B5EF4-FFF2-40B4-BE49-F238E27FC236}">
                <a16:creationId xmlns:a16="http://schemas.microsoft.com/office/drawing/2014/main" id="{85C69DEC-809C-B044-913F-A3FCFBD61B1F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" name="AutoShape 234">
            <a:extLst>
              <a:ext uri="{FF2B5EF4-FFF2-40B4-BE49-F238E27FC236}">
                <a16:creationId xmlns:a16="http://schemas.microsoft.com/office/drawing/2014/main" id="{9B7FF132-CF81-E7FC-9649-3A2ED744D5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251460</xdr:colOff>
      <xdr:row>62</xdr:row>
      <xdr:rowOff>91440</xdr:rowOff>
    </xdr:from>
    <xdr:to>
      <xdr:col>10</xdr:col>
      <xdr:colOff>9525</xdr:colOff>
      <xdr:row>64</xdr:row>
      <xdr:rowOff>47625</xdr:rowOff>
    </xdr:to>
    <xdr:sp macro="" textlink="">
      <xdr:nvSpPr>
        <xdr:cNvPr id="13" name="AutoShape 235">
          <a:extLst>
            <a:ext uri="{FF2B5EF4-FFF2-40B4-BE49-F238E27FC236}">
              <a16:creationId xmlns:a16="http://schemas.microsoft.com/office/drawing/2014/main" id="{F3A4B9F2-8479-4708-9E59-798E4AE1B9BC}"/>
            </a:ext>
          </a:extLst>
        </xdr:cNvPr>
        <xdr:cNvSpPr>
          <a:spLocks noChangeArrowheads="1"/>
        </xdr:cNvSpPr>
      </xdr:nvSpPr>
      <xdr:spPr bwMode="auto">
        <a:xfrm>
          <a:off x="4175760" y="11071860"/>
          <a:ext cx="3248025" cy="4057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47625</xdr:colOff>
      <xdr:row>74</xdr:row>
      <xdr:rowOff>38100</xdr:rowOff>
    </xdr:from>
    <xdr:to>
      <xdr:col>10</xdr:col>
      <xdr:colOff>266700</xdr:colOff>
      <xdr:row>74</xdr:row>
      <xdr:rowOff>165735</xdr:rowOff>
    </xdr:to>
    <xdr:grpSp>
      <xdr:nvGrpSpPr>
        <xdr:cNvPr id="22" name="Group 232">
          <a:extLst>
            <a:ext uri="{FF2B5EF4-FFF2-40B4-BE49-F238E27FC236}">
              <a16:creationId xmlns:a16="http://schemas.microsoft.com/office/drawing/2014/main" id="{59FED8BD-2D97-496D-9AE7-8D7831B399BF}"/>
            </a:ext>
          </a:extLst>
        </xdr:cNvPr>
        <xdr:cNvGrpSpPr>
          <a:grpSpLocks/>
        </xdr:cNvGrpSpPr>
      </xdr:nvGrpSpPr>
      <xdr:grpSpPr bwMode="auto">
        <a:xfrm>
          <a:off x="8246745" y="13243560"/>
          <a:ext cx="219075" cy="127635"/>
          <a:chOff x="304" y="241"/>
          <a:chExt cx="29" cy="29"/>
        </a:xfrm>
      </xdr:grpSpPr>
      <xdr:sp macro="" textlink="">
        <xdr:nvSpPr>
          <xdr:cNvPr id="23" name="Oval 233">
            <a:extLst>
              <a:ext uri="{FF2B5EF4-FFF2-40B4-BE49-F238E27FC236}">
                <a16:creationId xmlns:a16="http://schemas.microsoft.com/office/drawing/2014/main" id="{38853074-3AB4-64CA-D988-9F652D2C4EF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4" name="AutoShape 234">
            <a:extLst>
              <a:ext uri="{FF2B5EF4-FFF2-40B4-BE49-F238E27FC236}">
                <a16:creationId xmlns:a16="http://schemas.microsoft.com/office/drawing/2014/main" id="{E1DDCD52-C7F0-CCBC-4CC4-6323883A0B54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754380</xdr:colOff>
      <xdr:row>73</xdr:row>
      <xdr:rowOff>150495</xdr:rowOff>
    </xdr:from>
    <xdr:to>
      <xdr:col>9</xdr:col>
      <xdr:colOff>748665</xdr:colOff>
      <xdr:row>75</xdr:row>
      <xdr:rowOff>55245</xdr:rowOff>
    </xdr:to>
    <xdr:sp macro="" textlink="">
      <xdr:nvSpPr>
        <xdr:cNvPr id="25" name="AutoShape 235">
          <a:extLst>
            <a:ext uri="{FF2B5EF4-FFF2-40B4-BE49-F238E27FC236}">
              <a16:creationId xmlns:a16="http://schemas.microsoft.com/office/drawing/2014/main" id="{BB5DE5B1-BB3C-4416-A448-F7F0ED0B784F}"/>
            </a:ext>
          </a:extLst>
        </xdr:cNvPr>
        <xdr:cNvSpPr>
          <a:spLocks noChangeArrowheads="1"/>
        </xdr:cNvSpPr>
      </xdr:nvSpPr>
      <xdr:spPr bwMode="auto">
        <a:xfrm>
          <a:off x="3893820" y="13119735"/>
          <a:ext cx="348424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85</xdr:row>
      <xdr:rowOff>38100</xdr:rowOff>
    </xdr:from>
    <xdr:to>
      <xdr:col>10</xdr:col>
      <xdr:colOff>266700</xdr:colOff>
      <xdr:row>85</xdr:row>
      <xdr:rowOff>165735</xdr:rowOff>
    </xdr:to>
    <xdr:grpSp>
      <xdr:nvGrpSpPr>
        <xdr:cNvPr id="26" name="Group 232">
          <a:extLst>
            <a:ext uri="{FF2B5EF4-FFF2-40B4-BE49-F238E27FC236}">
              <a16:creationId xmlns:a16="http://schemas.microsoft.com/office/drawing/2014/main" id="{7F611590-9762-4E28-8FB9-C4EF75A51DC6}"/>
            </a:ext>
          </a:extLst>
        </xdr:cNvPr>
        <xdr:cNvGrpSpPr>
          <a:grpSpLocks/>
        </xdr:cNvGrpSpPr>
      </xdr:nvGrpSpPr>
      <xdr:grpSpPr bwMode="auto">
        <a:xfrm>
          <a:off x="8246745" y="15285720"/>
          <a:ext cx="219075" cy="127635"/>
          <a:chOff x="304" y="241"/>
          <a:chExt cx="29" cy="29"/>
        </a:xfrm>
      </xdr:grpSpPr>
      <xdr:sp macro="" textlink="">
        <xdr:nvSpPr>
          <xdr:cNvPr id="27" name="Oval 233">
            <a:extLst>
              <a:ext uri="{FF2B5EF4-FFF2-40B4-BE49-F238E27FC236}">
                <a16:creationId xmlns:a16="http://schemas.microsoft.com/office/drawing/2014/main" id="{5E23AFE5-1C98-9CA9-C318-430B9257E5F6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" name="AutoShape 234">
            <a:extLst>
              <a:ext uri="{FF2B5EF4-FFF2-40B4-BE49-F238E27FC236}">
                <a16:creationId xmlns:a16="http://schemas.microsoft.com/office/drawing/2014/main" id="{BB0B43CE-3C0F-0922-5A68-45B6B51080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190499</xdr:colOff>
      <xdr:row>84</xdr:row>
      <xdr:rowOff>142875</xdr:rowOff>
    </xdr:from>
    <xdr:to>
      <xdr:col>10</xdr:col>
      <xdr:colOff>9524</xdr:colOff>
      <xdr:row>86</xdr:row>
      <xdr:rowOff>47625</xdr:rowOff>
    </xdr:to>
    <xdr:sp macro="" textlink="">
      <xdr:nvSpPr>
        <xdr:cNvPr id="29" name="AutoShape 235">
          <a:extLst>
            <a:ext uri="{FF2B5EF4-FFF2-40B4-BE49-F238E27FC236}">
              <a16:creationId xmlns:a16="http://schemas.microsoft.com/office/drawing/2014/main" id="{1B7A2D20-73F7-4715-8F06-3C8CD286C2F4}"/>
            </a:ext>
          </a:extLst>
        </xdr:cNvPr>
        <xdr:cNvSpPr>
          <a:spLocks noChangeArrowheads="1"/>
        </xdr:cNvSpPr>
      </xdr:nvSpPr>
      <xdr:spPr bwMode="auto">
        <a:xfrm rot="10800000">
          <a:off x="2545079" y="15085695"/>
          <a:ext cx="4878705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98</xdr:row>
      <xdr:rowOff>38100</xdr:rowOff>
    </xdr:from>
    <xdr:to>
      <xdr:col>10</xdr:col>
      <xdr:colOff>266700</xdr:colOff>
      <xdr:row>98</xdr:row>
      <xdr:rowOff>165735</xdr:rowOff>
    </xdr:to>
    <xdr:grpSp>
      <xdr:nvGrpSpPr>
        <xdr:cNvPr id="34" name="Group 232">
          <a:extLst>
            <a:ext uri="{FF2B5EF4-FFF2-40B4-BE49-F238E27FC236}">
              <a16:creationId xmlns:a16="http://schemas.microsoft.com/office/drawing/2014/main" id="{07AC7C78-7CB1-4A41-A337-C0D0F9E38C44}"/>
            </a:ext>
          </a:extLst>
        </xdr:cNvPr>
        <xdr:cNvGrpSpPr>
          <a:grpSpLocks/>
        </xdr:cNvGrpSpPr>
      </xdr:nvGrpSpPr>
      <xdr:grpSpPr bwMode="auto">
        <a:xfrm>
          <a:off x="8246745" y="17602200"/>
          <a:ext cx="219075" cy="127635"/>
          <a:chOff x="304" y="241"/>
          <a:chExt cx="29" cy="29"/>
        </a:xfrm>
      </xdr:grpSpPr>
      <xdr:sp macro="" textlink="">
        <xdr:nvSpPr>
          <xdr:cNvPr id="35" name="Oval 233">
            <a:extLst>
              <a:ext uri="{FF2B5EF4-FFF2-40B4-BE49-F238E27FC236}">
                <a16:creationId xmlns:a16="http://schemas.microsoft.com/office/drawing/2014/main" id="{AE9F3F7D-C9BD-28D4-614A-395843CE476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" name="AutoShape 234">
            <a:extLst>
              <a:ext uri="{FF2B5EF4-FFF2-40B4-BE49-F238E27FC236}">
                <a16:creationId xmlns:a16="http://schemas.microsoft.com/office/drawing/2014/main" id="{CE29E173-A778-ADEA-D577-2160E60E21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114299</xdr:colOff>
      <xdr:row>97</xdr:row>
      <xdr:rowOff>198119</xdr:rowOff>
    </xdr:from>
    <xdr:to>
      <xdr:col>10</xdr:col>
      <xdr:colOff>9524</xdr:colOff>
      <xdr:row>99</xdr:row>
      <xdr:rowOff>47624</xdr:rowOff>
    </xdr:to>
    <xdr:sp macro="" textlink="">
      <xdr:nvSpPr>
        <xdr:cNvPr id="37" name="AutoShape 235">
          <a:extLst>
            <a:ext uri="{FF2B5EF4-FFF2-40B4-BE49-F238E27FC236}">
              <a16:creationId xmlns:a16="http://schemas.microsoft.com/office/drawing/2014/main" id="{63361673-5B95-4A06-9746-13EF050F9233}"/>
            </a:ext>
          </a:extLst>
        </xdr:cNvPr>
        <xdr:cNvSpPr>
          <a:spLocks noChangeArrowheads="1"/>
        </xdr:cNvSpPr>
      </xdr:nvSpPr>
      <xdr:spPr bwMode="auto">
        <a:xfrm>
          <a:off x="899159" y="17465039"/>
          <a:ext cx="6524625" cy="291465"/>
        </a:xfrm>
        <a:prstGeom prst="rightArrow">
          <a:avLst>
            <a:gd name="adj1" fmla="val 53187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47625</xdr:colOff>
      <xdr:row>60</xdr:row>
      <xdr:rowOff>38100</xdr:rowOff>
    </xdr:from>
    <xdr:to>
      <xdr:col>2</xdr:col>
      <xdr:colOff>266700</xdr:colOff>
      <xdr:row>60</xdr:row>
      <xdr:rowOff>165735</xdr:rowOff>
    </xdr:to>
    <xdr:grpSp>
      <xdr:nvGrpSpPr>
        <xdr:cNvPr id="42" name="Group 232">
          <a:extLst>
            <a:ext uri="{FF2B5EF4-FFF2-40B4-BE49-F238E27FC236}">
              <a16:creationId xmlns:a16="http://schemas.microsoft.com/office/drawing/2014/main" id="{C2FE0D25-8DB5-4555-ABBA-0CBC43BA39EC}"/>
            </a:ext>
          </a:extLst>
        </xdr:cNvPr>
        <xdr:cNvGrpSpPr>
          <a:grpSpLocks/>
        </xdr:cNvGrpSpPr>
      </xdr:nvGrpSpPr>
      <xdr:grpSpPr bwMode="auto">
        <a:xfrm>
          <a:off x="1617345" y="10629900"/>
          <a:ext cx="219075" cy="127635"/>
          <a:chOff x="304" y="241"/>
          <a:chExt cx="29" cy="29"/>
        </a:xfrm>
      </xdr:grpSpPr>
      <xdr:sp macro="" textlink="">
        <xdr:nvSpPr>
          <xdr:cNvPr id="43" name="Oval 233">
            <a:extLst>
              <a:ext uri="{FF2B5EF4-FFF2-40B4-BE49-F238E27FC236}">
                <a16:creationId xmlns:a16="http://schemas.microsoft.com/office/drawing/2014/main" id="{6D5B59FC-952E-CBD2-F2C2-4AD356F16D57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4" name="AutoShape 234">
            <a:extLst>
              <a:ext uri="{FF2B5EF4-FFF2-40B4-BE49-F238E27FC236}">
                <a16:creationId xmlns:a16="http://schemas.microsoft.com/office/drawing/2014/main" id="{EE49607A-5A8E-F250-8C23-7D7F8CBC16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</xdr:col>
      <xdr:colOff>45720</xdr:colOff>
      <xdr:row>59</xdr:row>
      <xdr:rowOff>36195</xdr:rowOff>
    </xdr:from>
    <xdr:to>
      <xdr:col>14</xdr:col>
      <xdr:colOff>761999</xdr:colOff>
      <xdr:row>60</xdr:row>
      <xdr:rowOff>169545</xdr:rowOff>
    </xdr:to>
    <xdr:sp macro="" textlink="">
      <xdr:nvSpPr>
        <xdr:cNvPr id="45" name="AutoShape 235">
          <a:extLst>
            <a:ext uri="{FF2B5EF4-FFF2-40B4-BE49-F238E27FC236}">
              <a16:creationId xmlns:a16="http://schemas.microsoft.com/office/drawing/2014/main" id="{414772C9-591A-4FFE-A811-50A44D04C926}"/>
            </a:ext>
          </a:extLst>
        </xdr:cNvPr>
        <xdr:cNvSpPr>
          <a:spLocks noChangeArrowheads="1"/>
        </xdr:cNvSpPr>
      </xdr:nvSpPr>
      <xdr:spPr bwMode="auto">
        <a:xfrm>
          <a:off x="3185160" y="10399395"/>
          <a:ext cx="8740139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60960</xdr:colOff>
      <xdr:row>66</xdr:row>
      <xdr:rowOff>38100</xdr:rowOff>
    </xdr:from>
    <xdr:to>
      <xdr:col>9</xdr:col>
      <xdr:colOff>769620</xdr:colOff>
      <xdr:row>68</xdr:row>
      <xdr:rowOff>0</xdr:rowOff>
    </xdr:to>
    <xdr:sp macro="" textlink="">
      <xdr:nvSpPr>
        <xdr:cNvPr id="47" name="AutoShape 33">
          <a:extLst>
            <a:ext uri="{FF2B5EF4-FFF2-40B4-BE49-F238E27FC236}">
              <a16:creationId xmlns:a16="http://schemas.microsoft.com/office/drawing/2014/main" id="{8C7E63DB-18AE-4249-9735-E9FE9C57EAFC}"/>
            </a:ext>
          </a:extLst>
        </xdr:cNvPr>
        <xdr:cNvSpPr>
          <a:spLocks noChangeArrowheads="1"/>
        </xdr:cNvSpPr>
      </xdr:nvSpPr>
      <xdr:spPr bwMode="auto">
        <a:xfrm rot="10800000">
          <a:off x="3200400" y="11818620"/>
          <a:ext cx="4983480" cy="29718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23</xdr:col>
      <xdr:colOff>0</xdr:colOff>
      <xdr:row>63</xdr:row>
      <xdr:rowOff>0</xdr:rowOff>
    </xdr:from>
    <xdr:to>
      <xdr:col>24</xdr:col>
      <xdr:colOff>28575</xdr:colOff>
      <xdr:row>65</xdr:row>
      <xdr:rowOff>87630</xdr:rowOff>
    </xdr:to>
    <xdr:grpSp>
      <xdr:nvGrpSpPr>
        <xdr:cNvPr id="48" name="Group 256">
          <a:extLst>
            <a:ext uri="{FF2B5EF4-FFF2-40B4-BE49-F238E27FC236}">
              <a16:creationId xmlns:a16="http://schemas.microsoft.com/office/drawing/2014/main" id="{D47B0478-CF84-41CC-BD3D-D376D16CB584}"/>
            </a:ext>
          </a:extLst>
        </xdr:cNvPr>
        <xdr:cNvGrpSpPr>
          <a:grpSpLocks/>
        </xdr:cNvGrpSpPr>
      </xdr:nvGrpSpPr>
      <xdr:grpSpPr bwMode="auto">
        <a:xfrm>
          <a:off x="18227040" y="11216640"/>
          <a:ext cx="813435" cy="483870"/>
          <a:chOff x="267" y="335"/>
          <a:chExt cx="150" cy="88"/>
        </a:xfrm>
      </xdr:grpSpPr>
      <xdr:sp macro="" textlink="">
        <xdr:nvSpPr>
          <xdr:cNvPr id="49" name="Rectangle 257">
            <a:extLst>
              <a:ext uri="{FF2B5EF4-FFF2-40B4-BE49-F238E27FC236}">
                <a16:creationId xmlns:a16="http://schemas.microsoft.com/office/drawing/2014/main" id="{29008A5D-EADD-4372-B46F-44B1A2380717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50" name="AutoShape 258">
            <a:extLst>
              <a:ext uri="{FF2B5EF4-FFF2-40B4-BE49-F238E27FC236}">
                <a16:creationId xmlns:a16="http://schemas.microsoft.com/office/drawing/2014/main" id="{E16E5AED-4195-54BC-B78B-E18C37E11A2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1" name="AutoShape 259">
            <a:extLst>
              <a:ext uri="{FF2B5EF4-FFF2-40B4-BE49-F238E27FC236}">
                <a16:creationId xmlns:a16="http://schemas.microsoft.com/office/drawing/2014/main" id="{A7D2DB44-F313-1E75-7384-5E075ECAD2D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2" name="AutoShape 260">
            <a:extLst>
              <a:ext uri="{FF2B5EF4-FFF2-40B4-BE49-F238E27FC236}">
                <a16:creationId xmlns:a16="http://schemas.microsoft.com/office/drawing/2014/main" id="{D0C976DE-9A3F-9487-9098-C5D8313E32F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3" name="AutoShape 261">
            <a:extLst>
              <a:ext uri="{FF2B5EF4-FFF2-40B4-BE49-F238E27FC236}">
                <a16:creationId xmlns:a16="http://schemas.microsoft.com/office/drawing/2014/main" id="{F84BA55D-E308-0EA6-9824-26496192A1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4" name="AutoShape 262">
            <a:extLst>
              <a:ext uri="{FF2B5EF4-FFF2-40B4-BE49-F238E27FC236}">
                <a16:creationId xmlns:a16="http://schemas.microsoft.com/office/drawing/2014/main" id="{CE9AA036-BC82-F6AB-F0BC-28A9CCD59664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5" name="AutoShape 263">
            <a:extLst>
              <a:ext uri="{FF2B5EF4-FFF2-40B4-BE49-F238E27FC236}">
                <a16:creationId xmlns:a16="http://schemas.microsoft.com/office/drawing/2014/main" id="{801E2EBE-42E2-4973-A932-8A9712C0D732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0</xdr:colOff>
      <xdr:row>77</xdr:row>
      <xdr:rowOff>0</xdr:rowOff>
    </xdr:from>
    <xdr:to>
      <xdr:col>24</xdr:col>
      <xdr:colOff>28575</xdr:colOff>
      <xdr:row>79</xdr:row>
      <xdr:rowOff>148590</xdr:rowOff>
    </xdr:to>
    <xdr:grpSp>
      <xdr:nvGrpSpPr>
        <xdr:cNvPr id="56" name="Group 256">
          <a:extLst>
            <a:ext uri="{FF2B5EF4-FFF2-40B4-BE49-F238E27FC236}">
              <a16:creationId xmlns:a16="http://schemas.microsoft.com/office/drawing/2014/main" id="{930C2631-04A4-4F40-9DEA-CE791A901F1B}"/>
            </a:ext>
          </a:extLst>
        </xdr:cNvPr>
        <xdr:cNvGrpSpPr>
          <a:grpSpLocks/>
        </xdr:cNvGrpSpPr>
      </xdr:nvGrpSpPr>
      <xdr:grpSpPr bwMode="auto">
        <a:xfrm>
          <a:off x="18227040" y="13830300"/>
          <a:ext cx="813435" cy="483870"/>
          <a:chOff x="267" y="335"/>
          <a:chExt cx="150" cy="88"/>
        </a:xfrm>
      </xdr:grpSpPr>
      <xdr:sp macro="" textlink="">
        <xdr:nvSpPr>
          <xdr:cNvPr id="57" name="Rectangle 257">
            <a:extLst>
              <a:ext uri="{FF2B5EF4-FFF2-40B4-BE49-F238E27FC236}">
                <a16:creationId xmlns:a16="http://schemas.microsoft.com/office/drawing/2014/main" id="{FA8ABD1D-38AD-489C-D5A3-8010D32BCFF7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58" name="AutoShape 258">
            <a:extLst>
              <a:ext uri="{FF2B5EF4-FFF2-40B4-BE49-F238E27FC236}">
                <a16:creationId xmlns:a16="http://schemas.microsoft.com/office/drawing/2014/main" id="{F7E99820-D61A-8E0F-7E72-E7929A237B1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9" name="AutoShape 259">
            <a:extLst>
              <a:ext uri="{FF2B5EF4-FFF2-40B4-BE49-F238E27FC236}">
                <a16:creationId xmlns:a16="http://schemas.microsoft.com/office/drawing/2014/main" id="{51D77D3A-C3C2-E4D9-136B-9CF1D1C4DB8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0" name="AutoShape 260">
            <a:extLst>
              <a:ext uri="{FF2B5EF4-FFF2-40B4-BE49-F238E27FC236}">
                <a16:creationId xmlns:a16="http://schemas.microsoft.com/office/drawing/2014/main" id="{84AFE427-7C1E-683E-59A1-EBF872BF7D3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1" name="AutoShape 261">
            <a:extLst>
              <a:ext uri="{FF2B5EF4-FFF2-40B4-BE49-F238E27FC236}">
                <a16:creationId xmlns:a16="http://schemas.microsoft.com/office/drawing/2014/main" id="{3FE3EAB8-74B9-8A66-5186-82777C86181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2" name="AutoShape 262">
            <a:extLst>
              <a:ext uri="{FF2B5EF4-FFF2-40B4-BE49-F238E27FC236}">
                <a16:creationId xmlns:a16="http://schemas.microsoft.com/office/drawing/2014/main" id="{0D134F8A-CA4D-196C-718F-A6007D3B926C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3" name="AutoShape 263">
            <a:extLst>
              <a:ext uri="{FF2B5EF4-FFF2-40B4-BE49-F238E27FC236}">
                <a16:creationId xmlns:a16="http://schemas.microsoft.com/office/drawing/2014/main" id="{2B4455F3-FB10-CAF9-9975-7E28E5D41C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0</xdr:colOff>
      <xdr:row>90</xdr:row>
      <xdr:rowOff>0</xdr:rowOff>
    </xdr:from>
    <xdr:to>
      <xdr:col>24</xdr:col>
      <xdr:colOff>28575</xdr:colOff>
      <xdr:row>92</xdr:row>
      <xdr:rowOff>148590</xdr:rowOff>
    </xdr:to>
    <xdr:grpSp>
      <xdr:nvGrpSpPr>
        <xdr:cNvPr id="1352" name="Group 256">
          <a:extLst>
            <a:ext uri="{FF2B5EF4-FFF2-40B4-BE49-F238E27FC236}">
              <a16:creationId xmlns:a16="http://schemas.microsoft.com/office/drawing/2014/main" id="{7B191763-1325-41DF-A94E-D7EE2B43C68D}"/>
            </a:ext>
          </a:extLst>
        </xdr:cNvPr>
        <xdr:cNvGrpSpPr>
          <a:grpSpLocks/>
        </xdr:cNvGrpSpPr>
      </xdr:nvGrpSpPr>
      <xdr:grpSpPr bwMode="auto">
        <a:xfrm>
          <a:off x="18227040" y="16154400"/>
          <a:ext cx="813435" cy="483870"/>
          <a:chOff x="267" y="335"/>
          <a:chExt cx="150" cy="88"/>
        </a:xfrm>
      </xdr:grpSpPr>
      <xdr:sp macro="" textlink="">
        <xdr:nvSpPr>
          <xdr:cNvPr id="1353" name="Rectangle 257">
            <a:extLst>
              <a:ext uri="{FF2B5EF4-FFF2-40B4-BE49-F238E27FC236}">
                <a16:creationId xmlns:a16="http://schemas.microsoft.com/office/drawing/2014/main" id="{38D7CBDF-3DD2-7C8A-8A78-3E527D26C334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1354" name="AutoShape 258">
            <a:extLst>
              <a:ext uri="{FF2B5EF4-FFF2-40B4-BE49-F238E27FC236}">
                <a16:creationId xmlns:a16="http://schemas.microsoft.com/office/drawing/2014/main" id="{FC3C2040-6628-E693-EB9B-71A95198531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5" name="AutoShape 259">
            <a:extLst>
              <a:ext uri="{FF2B5EF4-FFF2-40B4-BE49-F238E27FC236}">
                <a16:creationId xmlns:a16="http://schemas.microsoft.com/office/drawing/2014/main" id="{4C2EF812-CB03-AE47-07D3-6F47F894B8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6" name="AutoShape 260">
            <a:extLst>
              <a:ext uri="{FF2B5EF4-FFF2-40B4-BE49-F238E27FC236}">
                <a16:creationId xmlns:a16="http://schemas.microsoft.com/office/drawing/2014/main" id="{ADCD0F8E-E951-98EE-29F9-DC967B409E3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7" name="AutoShape 261">
            <a:extLst>
              <a:ext uri="{FF2B5EF4-FFF2-40B4-BE49-F238E27FC236}">
                <a16:creationId xmlns:a16="http://schemas.microsoft.com/office/drawing/2014/main" id="{CD9BFDB3-CC81-4D2D-F443-BA0FFCE1793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8" name="AutoShape 262">
            <a:extLst>
              <a:ext uri="{FF2B5EF4-FFF2-40B4-BE49-F238E27FC236}">
                <a16:creationId xmlns:a16="http://schemas.microsoft.com/office/drawing/2014/main" id="{F435570C-C4A2-DB94-CC4F-DDC7739D530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359" name="AutoShape 263">
            <a:extLst>
              <a:ext uri="{FF2B5EF4-FFF2-40B4-BE49-F238E27FC236}">
                <a16:creationId xmlns:a16="http://schemas.microsoft.com/office/drawing/2014/main" id="{062AEE3E-6C96-333C-1439-8348EC5AB21B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3</xdr:row>
      <xdr:rowOff>83820</xdr:rowOff>
    </xdr:to>
    <xdr:grpSp>
      <xdr:nvGrpSpPr>
        <xdr:cNvPr id="1374" name="Group 3">
          <a:extLst>
            <a:ext uri="{FF2B5EF4-FFF2-40B4-BE49-F238E27FC236}">
              <a16:creationId xmlns:a16="http://schemas.microsoft.com/office/drawing/2014/main" id="{4C02DCCC-B6DD-4C3D-BE8D-4344B79CBA3B}"/>
            </a:ext>
          </a:extLst>
        </xdr:cNvPr>
        <xdr:cNvGrpSpPr>
          <a:grpSpLocks/>
        </xdr:cNvGrpSpPr>
      </xdr:nvGrpSpPr>
      <xdr:grpSpPr bwMode="auto">
        <a:xfrm>
          <a:off x="10378440" y="342900"/>
          <a:ext cx="152400" cy="251460"/>
          <a:chOff x="572" y="516"/>
          <a:chExt cx="44" cy="130"/>
        </a:xfrm>
      </xdr:grpSpPr>
      <xdr:cxnSp macro="">
        <xdr:nvCxnSpPr>
          <xdr:cNvPr id="1375" name="AutoShape 4">
            <a:extLst>
              <a:ext uri="{FF2B5EF4-FFF2-40B4-BE49-F238E27FC236}">
                <a16:creationId xmlns:a16="http://schemas.microsoft.com/office/drawing/2014/main" id="{50B54F6D-DC1B-01F3-719D-0726DF27AEE1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614" y="517"/>
            <a:ext cx="1" cy="129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6" name="AutoShape 5">
            <a:extLst>
              <a:ext uri="{FF2B5EF4-FFF2-40B4-BE49-F238E27FC236}">
                <a16:creationId xmlns:a16="http://schemas.microsoft.com/office/drawing/2014/main" id="{9D3CBD32-83F0-0F3B-F144-580D7FB53B91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7" name="AutoShape 6">
            <a:extLst>
              <a:ext uri="{FF2B5EF4-FFF2-40B4-BE49-F238E27FC236}">
                <a16:creationId xmlns:a16="http://schemas.microsoft.com/office/drawing/2014/main" id="{AD501894-4A46-DF5D-F67C-8783B24A67C4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8" name="AutoShape 7">
            <a:extLst>
              <a:ext uri="{FF2B5EF4-FFF2-40B4-BE49-F238E27FC236}">
                <a16:creationId xmlns:a16="http://schemas.microsoft.com/office/drawing/2014/main" id="{68B65092-D0DF-C670-0E89-CFE391B5603A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58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79" name="AutoShape 8">
            <a:extLst>
              <a:ext uri="{FF2B5EF4-FFF2-40B4-BE49-F238E27FC236}">
                <a16:creationId xmlns:a16="http://schemas.microsoft.com/office/drawing/2014/main" id="{633E6E7D-8C52-239D-1547-631E28FFFFAC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602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1380" name="AutoShape 9">
            <a:extLst>
              <a:ext uri="{FF2B5EF4-FFF2-40B4-BE49-F238E27FC236}">
                <a16:creationId xmlns:a16="http://schemas.microsoft.com/office/drawing/2014/main" id="{9BB2CC33-9D96-333D-DDCA-B79D55131D18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3" y="644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10</xdr:col>
      <xdr:colOff>236220</xdr:colOff>
      <xdr:row>5</xdr:row>
      <xdr:rowOff>68580</xdr:rowOff>
    </xdr:from>
    <xdr:to>
      <xdr:col>11</xdr:col>
      <xdr:colOff>251460</xdr:colOff>
      <xdr:row>7</xdr:row>
      <xdr:rowOff>0</xdr:rowOff>
    </xdr:to>
    <xdr:grpSp>
      <xdr:nvGrpSpPr>
        <xdr:cNvPr id="1287" name="Group 46">
          <a:extLst>
            <a:ext uri="{FF2B5EF4-FFF2-40B4-BE49-F238E27FC236}">
              <a16:creationId xmlns:a16="http://schemas.microsoft.com/office/drawing/2014/main" id="{E33CDA05-4609-45C9-919B-F681629F3740}"/>
            </a:ext>
          </a:extLst>
        </xdr:cNvPr>
        <xdr:cNvGrpSpPr>
          <a:grpSpLocks/>
        </xdr:cNvGrpSpPr>
      </xdr:nvGrpSpPr>
      <xdr:grpSpPr bwMode="auto">
        <a:xfrm flipH="1">
          <a:off x="8435340" y="914400"/>
          <a:ext cx="883920" cy="266700"/>
          <a:chOff x="216" y="418"/>
          <a:chExt cx="71" cy="51"/>
        </a:xfrm>
      </xdr:grpSpPr>
      <xdr:sp macro="" textlink="">
        <xdr:nvSpPr>
          <xdr:cNvPr id="1288" name="Rectangle 47">
            <a:extLst>
              <a:ext uri="{FF2B5EF4-FFF2-40B4-BE49-F238E27FC236}">
                <a16:creationId xmlns:a16="http://schemas.microsoft.com/office/drawing/2014/main" id="{A6ABDA0B-4EB3-1F5B-9A62-A3463A203F93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89" name="Rectangle 48">
            <a:extLst>
              <a:ext uri="{FF2B5EF4-FFF2-40B4-BE49-F238E27FC236}">
                <a16:creationId xmlns:a16="http://schemas.microsoft.com/office/drawing/2014/main" id="{78D4CBEC-6ED0-910A-5A6C-1BA36A7DC689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0" name="AutoShape 49">
            <a:extLst>
              <a:ext uri="{FF2B5EF4-FFF2-40B4-BE49-F238E27FC236}">
                <a16:creationId xmlns:a16="http://schemas.microsoft.com/office/drawing/2014/main" id="{FA250148-3D6D-CA27-6C0E-8D8C5CF93749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1" name="AutoShape 50">
            <a:extLst>
              <a:ext uri="{FF2B5EF4-FFF2-40B4-BE49-F238E27FC236}">
                <a16:creationId xmlns:a16="http://schemas.microsoft.com/office/drawing/2014/main" id="{B4C3864B-5373-8933-7E76-EC8BAC169925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2" name="AutoShape 51">
            <a:extLst>
              <a:ext uri="{FF2B5EF4-FFF2-40B4-BE49-F238E27FC236}">
                <a16:creationId xmlns:a16="http://schemas.microsoft.com/office/drawing/2014/main" id="{D071FB32-1A21-FABC-F18D-445EE8664D33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3" name="AutoShape 52">
            <a:extLst>
              <a:ext uri="{FF2B5EF4-FFF2-40B4-BE49-F238E27FC236}">
                <a16:creationId xmlns:a16="http://schemas.microsoft.com/office/drawing/2014/main" id="{B1968CB8-5A0D-AB42-3005-F4879DA2D594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4" name="AutoShape 53">
            <a:extLst>
              <a:ext uri="{FF2B5EF4-FFF2-40B4-BE49-F238E27FC236}">
                <a16:creationId xmlns:a16="http://schemas.microsoft.com/office/drawing/2014/main" id="{F4771454-E58B-8E14-D03E-9EFC4BC22C4C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333375</xdr:colOff>
      <xdr:row>5</xdr:row>
      <xdr:rowOff>34290</xdr:rowOff>
    </xdr:to>
    <xdr:grpSp>
      <xdr:nvGrpSpPr>
        <xdr:cNvPr id="1295" name="Group 39">
          <a:extLst>
            <a:ext uri="{FF2B5EF4-FFF2-40B4-BE49-F238E27FC236}">
              <a16:creationId xmlns:a16="http://schemas.microsoft.com/office/drawing/2014/main" id="{C2AE56BB-DB4D-48EE-B669-EB6276DEBBE2}"/>
            </a:ext>
          </a:extLst>
        </xdr:cNvPr>
        <xdr:cNvGrpSpPr>
          <a:grpSpLocks/>
        </xdr:cNvGrpSpPr>
      </xdr:nvGrpSpPr>
      <xdr:grpSpPr bwMode="auto">
        <a:xfrm>
          <a:off x="10378440" y="678180"/>
          <a:ext cx="333375" cy="201930"/>
          <a:chOff x="320" y="533"/>
          <a:chExt cx="52" cy="52"/>
        </a:xfrm>
      </xdr:grpSpPr>
      <xdr:sp macro="" textlink="">
        <xdr:nvSpPr>
          <xdr:cNvPr id="1296" name="Rectangle 40">
            <a:extLst>
              <a:ext uri="{FF2B5EF4-FFF2-40B4-BE49-F238E27FC236}">
                <a16:creationId xmlns:a16="http://schemas.microsoft.com/office/drawing/2014/main" id="{5D3C98C1-5339-F4CF-9D06-0050408E93CC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7" name="Rectangle 41">
            <a:extLst>
              <a:ext uri="{FF2B5EF4-FFF2-40B4-BE49-F238E27FC236}">
                <a16:creationId xmlns:a16="http://schemas.microsoft.com/office/drawing/2014/main" id="{B6B39D45-B15E-D547-4FB7-0D6CFDF0E59F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8" name="AutoShape 42">
            <a:extLst>
              <a:ext uri="{FF2B5EF4-FFF2-40B4-BE49-F238E27FC236}">
                <a16:creationId xmlns:a16="http://schemas.microsoft.com/office/drawing/2014/main" id="{01547913-6E10-7F33-52C8-16412BBD7B49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9" name="AutoShape 43">
            <a:extLst>
              <a:ext uri="{FF2B5EF4-FFF2-40B4-BE49-F238E27FC236}">
                <a16:creationId xmlns:a16="http://schemas.microsoft.com/office/drawing/2014/main" id="{48045DE6-9C0E-A489-02D9-122B57E1BB62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0" name="AutoShape 44">
            <a:extLst>
              <a:ext uri="{FF2B5EF4-FFF2-40B4-BE49-F238E27FC236}">
                <a16:creationId xmlns:a16="http://schemas.microsoft.com/office/drawing/2014/main" id="{AF9CCB22-4A04-97F8-4B8A-3FBE3A0F7528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1" name="AutoShape 45">
            <a:extLst>
              <a:ext uri="{FF2B5EF4-FFF2-40B4-BE49-F238E27FC236}">
                <a16:creationId xmlns:a16="http://schemas.microsoft.com/office/drawing/2014/main" id="{F11BD10A-7200-C007-425C-B2D32FD153BA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99060</xdr:colOff>
      <xdr:row>20</xdr:row>
      <xdr:rowOff>99060</xdr:rowOff>
    </xdr:to>
    <xdr:grpSp>
      <xdr:nvGrpSpPr>
        <xdr:cNvPr id="1302" name="Group 46">
          <a:extLst>
            <a:ext uri="{FF2B5EF4-FFF2-40B4-BE49-F238E27FC236}">
              <a16:creationId xmlns:a16="http://schemas.microsoft.com/office/drawing/2014/main" id="{2C551B52-D3AC-4FE6-A994-4CFE3F777272}"/>
            </a:ext>
          </a:extLst>
        </xdr:cNvPr>
        <xdr:cNvGrpSpPr>
          <a:grpSpLocks/>
        </xdr:cNvGrpSpPr>
      </xdr:nvGrpSpPr>
      <xdr:grpSpPr bwMode="auto">
        <a:xfrm flipH="1">
          <a:off x="2354580" y="3215640"/>
          <a:ext cx="1668780" cy="266700"/>
          <a:chOff x="216" y="418"/>
          <a:chExt cx="71" cy="51"/>
        </a:xfrm>
      </xdr:grpSpPr>
      <xdr:sp macro="" textlink="">
        <xdr:nvSpPr>
          <xdr:cNvPr id="1303" name="Rectangle 47">
            <a:extLst>
              <a:ext uri="{FF2B5EF4-FFF2-40B4-BE49-F238E27FC236}">
                <a16:creationId xmlns:a16="http://schemas.microsoft.com/office/drawing/2014/main" id="{5F13E3CD-0000-4E59-CD58-5C7821E18408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4" name="Rectangle 48">
            <a:extLst>
              <a:ext uri="{FF2B5EF4-FFF2-40B4-BE49-F238E27FC236}">
                <a16:creationId xmlns:a16="http://schemas.microsoft.com/office/drawing/2014/main" id="{F0295DDC-4273-7B4E-0073-1659295EFF87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5" name="AutoShape 49">
            <a:extLst>
              <a:ext uri="{FF2B5EF4-FFF2-40B4-BE49-F238E27FC236}">
                <a16:creationId xmlns:a16="http://schemas.microsoft.com/office/drawing/2014/main" id="{0BC85F2F-918F-3C8F-48AC-2842DCF82527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6" name="AutoShape 50">
            <a:extLst>
              <a:ext uri="{FF2B5EF4-FFF2-40B4-BE49-F238E27FC236}">
                <a16:creationId xmlns:a16="http://schemas.microsoft.com/office/drawing/2014/main" id="{7CDFFF92-2AD3-30A6-F3AF-78E3368AA39F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7" name="AutoShape 51">
            <a:extLst>
              <a:ext uri="{FF2B5EF4-FFF2-40B4-BE49-F238E27FC236}">
                <a16:creationId xmlns:a16="http://schemas.microsoft.com/office/drawing/2014/main" id="{99D1E56D-2783-A7D0-CAD1-44A3CD3BD9DE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8" name="AutoShape 52">
            <a:extLst>
              <a:ext uri="{FF2B5EF4-FFF2-40B4-BE49-F238E27FC236}">
                <a16:creationId xmlns:a16="http://schemas.microsoft.com/office/drawing/2014/main" id="{3071C984-EDBF-94E4-0141-7B4EA85311F2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09" name="AutoShape 53">
            <a:extLst>
              <a:ext uri="{FF2B5EF4-FFF2-40B4-BE49-F238E27FC236}">
                <a16:creationId xmlns:a16="http://schemas.microsoft.com/office/drawing/2014/main" id="{D50D73E4-8F1B-9F64-E9EB-CEA055F7C6A1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114300</xdr:colOff>
      <xdr:row>4</xdr:row>
      <xdr:rowOff>60960</xdr:rowOff>
    </xdr:from>
    <xdr:to>
      <xdr:col>14</xdr:col>
      <xdr:colOff>476250</xdr:colOff>
      <xdr:row>5</xdr:row>
      <xdr:rowOff>102870</xdr:rowOff>
    </xdr:to>
    <xdr:grpSp>
      <xdr:nvGrpSpPr>
        <xdr:cNvPr id="1322" name="Group 60">
          <a:extLst>
            <a:ext uri="{FF2B5EF4-FFF2-40B4-BE49-F238E27FC236}">
              <a16:creationId xmlns:a16="http://schemas.microsoft.com/office/drawing/2014/main" id="{8FA8912C-4AAA-4070-A000-B5BC896DC25F}"/>
            </a:ext>
          </a:extLst>
        </xdr:cNvPr>
        <xdr:cNvGrpSpPr>
          <a:grpSpLocks/>
        </xdr:cNvGrpSpPr>
      </xdr:nvGrpSpPr>
      <xdr:grpSpPr bwMode="auto">
        <a:xfrm>
          <a:off x="11277600" y="739140"/>
          <a:ext cx="361950" cy="209550"/>
          <a:chOff x="1860" y="222"/>
          <a:chExt cx="159" cy="139"/>
        </a:xfrm>
      </xdr:grpSpPr>
      <xdr:sp macro="" textlink="">
        <xdr:nvSpPr>
          <xdr:cNvPr id="1323" name="AutoShape 61">
            <a:extLst>
              <a:ext uri="{FF2B5EF4-FFF2-40B4-BE49-F238E27FC236}">
                <a16:creationId xmlns:a16="http://schemas.microsoft.com/office/drawing/2014/main" id="{831AF6CC-B6BB-E2CE-07DA-5C04C05DE56A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4" name="Line 62">
            <a:extLst>
              <a:ext uri="{FF2B5EF4-FFF2-40B4-BE49-F238E27FC236}">
                <a16:creationId xmlns:a16="http://schemas.microsoft.com/office/drawing/2014/main" id="{84BD6A71-7892-25FE-8E19-63DDD5D37BFE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5" name="Line 63">
            <a:extLst>
              <a:ext uri="{FF2B5EF4-FFF2-40B4-BE49-F238E27FC236}">
                <a16:creationId xmlns:a16="http://schemas.microsoft.com/office/drawing/2014/main" id="{6CBAB6F6-7540-2A8D-3EFA-F86C6BB6632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6" name="Line 64">
            <a:extLst>
              <a:ext uri="{FF2B5EF4-FFF2-40B4-BE49-F238E27FC236}">
                <a16:creationId xmlns:a16="http://schemas.microsoft.com/office/drawing/2014/main" id="{5128BC94-6D52-66F7-592D-3C080391CBC2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411480</xdr:colOff>
      <xdr:row>59</xdr:row>
      <xdr:rowOff>100966</xdr:rowOff>
    </xdr:from>
    <xdr:to>
      <xdr:col>15</xdr:col>
      <xdr:colOff>62865</xdr:colOff>
      <xdr:row>63</xdr:row>
      <xdr:rowOff>40006</xdr:rowOff>
    </xdr:to>
    <xdr:sp macro="" textlink="">
      <xdr:nvSpPr>
        <xdr:cNvPr id="1328" name="AutoShape 236">
          <a:extLst>
            <a:ext uri="{FF2B5EF4-FFF2-40B4-BE49-F238E27FC236}">
              <a16:creationId xmlns:a16="http://schemas.microsoft.com/office/drawing/2014/main" id="{828C8FB1-BB3B-4A0E-88D6-05CA66C9FD67}"/>
            </a:ext>
          </a:extLst>
        </xdr:cNvPr>
        <xdr:cNvSpPr>
          <a:spLocks noChangeArrowheads="1"/>
        </xdr:cNvSpPr>
      </xdr:nvSpPr>
      <xdr:spPr bwMode="auto">
        <a:xfrm rot="5400000">
          <a:off x="10615613" y="10638473"/>
          <a:ext cx="784860" cy="43624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148006</xdr:colOff>
      <xdr:row>69</xdr:row>
      <xdr:rowOff>38100</xdr:rowOff>
    </xdr:from>
    <xdr:to>
      <xdr:col>3</xdr:col>
      <xdr:colOff>535400</xdr:colOff>
      <xdr:row>85</xdr:row>
      <xdr:rowOff>167582</xdr:rowOff>
    </xdr:to>
    <xdr:sp macro="" textlink="">
      <xdr:nvSpPr>
        <xdr:cNvPr id="1330" name="AutoShape 235">
          <a:extLst>
            <a:ext uri="{FF2B5EF4-FFF2-40B4-BE49-F238E27FC236}">
              <a16:creationId xmlns:a16="http://schemas.microsoft.com/office/drawing/2014/main" id="{E16AE884-9B9A-47B1-AED9-903643A1AEF1}"/>
            </a:ext>
          </a:extLst>
        </xdr:cNvPr>
        <xdr:cNvSpPr>
          <a:spLocks noChangeArrowheads="1"/>
        </xdr:cNvSpPr>
      </xdr:nvSpPr>
      <xdr:spPr bwMode="auto">
        <a:xfrm rot="16200000">
          <a:off x="1187552" y="13636574"/>
          <a:ext cx="3017462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69</xdr:row>
      <xdr:rowOff>15240</xdr:rowOff>
    </xdr:from>
    <xdr:to>
      <xdr:col>2</xdr:col>
      <xdr:colOff>342900</xdr:colOff>
      <xdr:row>94</xdr:row>
      <xdr:rowOff>160020</xdr:rowOff>
    </xdr:to>
    <xdr:sp macro="" textlink="">
      <xdr:nvSpPr>
        <xdr:cNvPr id="1332" name="AutoShape 235">
          <a:extLst>
            <a:ext uri="{FF2B5EF4-FFF2-40B4-BE49-F238E27FC236}">
              <a16:creationId xmlns:a16="http://schemas.microsoft.com/office/drawing/2014/main" id="{D10D817A-2B9B-4AC1-9CE4-E52921778101}"/>
            </a:ext>
          </a:extLst>
        </xdr:cNvPr>
        <xdr:cNvSpPr>
          <a:spLocks noChangeArrowheads="1"/>
        </xdr:cNvSpPr>
      </xdr:nvSpPr>
      <xdr:spPr bwMode="auto">
        <a:xfrm rot="5400000">
          <a:off x="-567690" y="14436090"/>
          <a:ext cx="4617720" cy="34290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91440</xdr:colOff>
      <xdr:row>94</xdr:row>
      <xdr:rowOff>65383</xdr:rowOff>
    </xdr:from>
    <xdr:to>
      <xdr:col>18</xdr:col>
      <xdr:colOff>495300</xdr:colOff>
      <xdr:row>96</xdr:row>
      <xdr:rowOff>117497</xdr:rowOff>
    </xdr:to>
    <xdr:sp macro="" textlink="">
      <xdr:nvSpPr>
        <xdr:cNvPr id="1334" name="AutoShape 235">
          <a:extLst>
            <a:ext uri="{FF2B5EF4-FFF2-40B4-BE49-F238E27FC236}">
              <a16:creationId xmlns:a16="http://schemas.microsoft.com/office/drawing/2014/main" id="{8CAE3D85-3281-4F10-8615-5E4EC5D72CE3}"/>
            </a:ext>
          </a:extLst>
        </xdr:cNvPr>
        <xdr:cNvSpPr>
          <a:spLocks noChangeArrowheads="1"/>
        </xdr:cNvSpPr>
      </xdr:nvSpPr>
      <xdr:spPr bwMode="auto">
        <a:xfrm>
          <a:off x="1661160" y="16821763"/>
          <a:ext cx="12352020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121920</xdr:colOff>
      <xdr:row>84</xdr:row>
      <xdr:rowOff>22860</xdr:rowOff>
    </xdr:from>
    <xdr:to>
      <xdr:col>18</xdr:col>
      <xdr:colOff>509314</xdr:colOff>
      <xdr:row>96</xdr:row>
      <xdr:rowOff>53340</xdr:rowOff>
    </xdr:to>
    <xdr:sp macro="" textlink="">
      <xdr:nvSpPr>
        <xdr:cNvPr id="1335" name="AutoShape 235">
          <a:extLst>
            <a:ext uri="{FF2B5EF4-FFF2-40B4-BE49-F238E27FC236}">
              <a16:creationId xmlns:a16="http://schemas.microsoft.com/office/drawing/2014/main" id="{D2C81CBC-BF3A-4924-8DDE-D4D0BA521F08}"/>
            </a:ext>
          </a:extLst>
        </xdr:cNvPr>
        <xdr:cNvSpPr>
          <a:spLocks noChangeArrowheads="1"/>
        </xdr:cNvSpPr>
      </xdr:nvSpPr>
      <xdr:spPr bwMode="auto">
        <a:xfrm rot="16200000">
          <a:off x="12743837" y="15861643"/>
          <a:ext cx="2179320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30480</xdr:colOff>
      <xdr:row>87</xdr:row>
      <xdr:rowOff>160020</xdr:rowOff>
    </xdr:from>
    <xdr:to>
      <xdr:col>20</xdr:col>
      <xdr:colOff>7620</xdr:colOff>
      <xdr:row>90</xdr:row>
      <xdr:rowOff>3810</xdr:rowOff>
    </xdr:to>
    <xdr:sp macro="" textlink="">
      <xdr:nvSpPr>
        <xdr:cNvPr id="1408" name="AutoShape 235">
          <a:extLst>
            <a:ext uri="{FF2B5EF4-FFF2-40B4-BE49-F238E27FC236}">
              <a16:creationId xmlns:a16="http://schemas.microsoft.com/office/drawing/2014/main" id="{805688F1-1F4F-404D-BC28-B76DB9E5B333}"/>
            </a:ext>
          </a:extLst>
        </xdr:cNvPr>
        <xdr:cNvSpPr>
          <a:spLocks noChangeArrowheads="1"/>
        </xdr:cNvSpPr>
      </xdr:nvSpPr>
      <xdr:spPr bwMode="auto">
        <a:xfrm>
          <a:off x="13548360" y="15727680"/>
          <a:ext cx="1546860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98</xdr:row>
      <xdr:rowOff>0</xdr:rowOff>
    </xdr:from>
    <xdr:to>
      <xdr:col>13</xdr:col>
      <xdr:colOff>0</xdr:colOff>
      <xdr:row>99</xdr:row>
      <xdr:rowOff>125730</xdr:rowOff>
    </xdr:to>
    <xdr:sp macro="" textlink="">
      <xdr:nvSpPr>
        <xdr:cNvPr id="1409" name="AutoShape 235">
          <a:extLst>
            <a:ext uri="{FF2B5EF4-FFF2-40B4-BE49-F238E27FC236}">
              <a16:creationId xmlns:a16="http://schemas.microsoft.com/office/drawing/2014/main" id="{6C5461C2-6F8E-4585-908E-3E57D3CEDB5E}"/>
            </a:ext>
          </a:extLst>
        </xdr:cNvPr>
        <xdr:cNvSpPr>
          <a:spLocks noChangeArrowheads="1"/>
        </xdr:cNvSpPr>
      </xdr:nvSpPr>
      <xdr:spPr bwMode="auto">
        <a:xfrm>
          <a:off x="8808720" y="174879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455295</xdr:colOff>
      <xdr:row>80</xdr:row>
      <xdr:rowOff>106680</xdr:rowOff>
    </xdr:from>
    <xdr:to>
      <xdr:col>13</xdr:col>
      <xdr:colOff>17145</xdr:colOff>
      <xdr:row>99</xdr:row>
      <xdr:rowOff>17145</xdr:rowOff>
    </xdr:to>
    <xdr:sp macro="" textlink="">
      <xdr:nvSpPr>
        <xdr:cNvPr id="1410" name="AutoShape 235">
          <a:extLst>
            <a:ext uri="{FF2B5EF4-FFF2-40B4-BE49-F238E27FC236}">
              <a16:creationId xmlns:a16="http://schemas.microsoft.com/office/drawing/2014/main" id="{CBBA8491-314B-44F0-B6E6-4A756CA364B0}"/>
            </a:ext>
          </a:extLst>
        </xdr:cNvPr>
        <xdr:cNvSpPr>
          <a:spLocks noChangeArrowheads="1"/>
        </xdr:cNvSpPr>
      </xdr:nvSpPr>
      <xdr:spPr bwMode="auto">
        <a:xfrm rot="16200000">
          <a:off x="7756207" y="15871508"/>
          <a:ext cx="336232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594360</xdr:colOff>
      <xdr:row>80</xdr:row>
      <xdr:rowOff>60960</xdr:rowOff>
    </xdr:from>
    <xdr:to>
      <xdr:col>13</xdr:col>
      <xdr:colOff>754380</xdr:colOff>
      <xdr:row>82</xdr:row>
      <xdr:rowOff>72390</xdr:rowOff>
    </xdr:to>
    <xdr:sp macro="" textlink="">
      <xdr:nvSpPr>
        <xdr:cNvPr id="1412" name="AutoShape 235">
          <a:extLst>
            <a:ext uri="{FF2B5EF4-FFF2-40B4-BE49-F238E27FC236}">
              <a16:creationId xmlns:a16="http://schemas.microsoft.com/office/drawing/2014/main" id="{5C4494C0-9415-4307-BC2B-7E7CB6F26581}"/>
            </a:ext>
          </a:extLst>
        </xdr:cNvPr>
        <xdr:cNvSpPr>
          <a:spLocks noChangeArrowheads="1"/>
        </xdr:cNvSpPr>
      </xdr:nvSpPr>
      <xdr:spPr bwMode="auto">
        <a:xfrm>
          <a:off x="9403080" y="14317980"/>
          <a:ext cx="9448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88</xdr:row>
      <xdr:rowOff>0</xdr:rowOff>
    </xdr:from>
    <xdr:to>
      <xdr:col>13</xdr:col>
      <xdr:colOff>0</xdr:colOff>
      <xdr:row>90</xdr:row>
      <xdr:rowOff>3810</xdr:rowOff>
    </xdr:to>
    <xdr:sp macro="" textlink="">
      <xdr:nvSpPr>
        <xdr:cNvPr id="1413" name="AutoShape 235">
          <a:extLst>
            <a:ext uri="{FF2B5EF4-FFF2-40B4-BE49-F238E27FC236}">
              <a16:creationId xmlns:a16="http://schemas.microsoft.com/office/drawing/2014/main" id="{73FBFC8C-0D68-4B1C-B35E-9C07C10FBC6B}"/>
            </a:ext>
          </a:extLst>
        </xdr:cNvPr>
        <xdr:cNvSpPr>
          <a:spLocks noChangeArrowheads="1"/>
        </xdr:cNvSpPr>
      </xdr:nvSpPr>
      <xdr:spPr bwMode="auto">
        <a:xfrm>
          <a:off x="8808720" y="157353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13</xdr:col>
      <xdr:colOff>746760</xdr:colOff>
      <xdr:row>77</xdr:row>
      <xdr:rowOff>3810</xdr:rowOff>
    </xdr:to>
    <xdr:sp macro="" textlink="">
      <xdr:nvSpPr>
        <xdr:cNvPr id="1415" name="AutoShape 235">
          <a:extLst>
            <a:ext uri="{FF2B5EF4-FFF2-40B4-BE49-F238E27FC236}">
              <a16:creationId xmlns:a16="http://schemas.microsoft.com/office/drawing/2014/main" id="{8B757445-EEE1-4AC9-9E50-8B55F9754474}"/>
            </a:ext>
          </a:extLst>
        </xdr:cNvPr>
        <xdr:cNvSpPr>
          <a:spLocks noChangeArrowheads="1"/>
        </xdr:cNvSpPr>
      </xdr:nvSpPr>
      <xdr:spPr bwMode="auto">
        <a:xfrm>
          <a:off x="8808720" y="13411200"/>
          <a:ext cx="153162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62</xdr:row>
      <xdr:rowOff>0</xdr:rowOff>
    </xdr:from>
    <xdr:to>
      <xdr:col>18</xdr:col>
      <xdr:colOff>502920</xdr:colOff>
      <xdr:row>63</xdr:row>
      <xdr:rowOff>118110</xdr:rowOff>
    </xdr:to>
    <xdr:sp macro="" textlink="">
      <xdr:nvSpPr>
        <xdr:cNvPr id="1417" name="AutoShape 235">
          <a:extLst>
            <a:ext uri="{FF2B5EF4-FFF2-40B4-BE49-F238E27FC236}">
              <a16:creationId xmlns:a16="http://schemas.microsoft.com/office/drawing/2014/main" id="{CE38D244-0125-4678-9084-25903046832F}"/>
            </a:ext>
          </a:extLst>
        </xdr:cNvPr>
        <xdr:cNvSpPr>
          <a:spLocks noChangeArrowheads="1"/>
        </xdr:cNvSpPr>
      </xdr:nvSpPr>
      <xdr:spPr bwMode="auto">
        <a:xfrm>
          <a:off x="8808720" y="10980420"/>
          <a:ext cx="52120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38</xdr:row>
      <xdr:rowOff>0</xdr:rowOff>
    </xdr:from>
    <xdr:to>
      <xdr:col>16</xdr:col>
      <xdr:colOff>723900</xdr:colOff>
      <xdr:row>40</xdr:row>
      <xdr:rowOff>11430</xdr:rowOff>
    </xdr:to>
    <xdr:sp macro="" textlink="">
      <xdr:nvSpPr>
        <xdr:cNvPr id="1419" name="AutoShape 235">
          <a:extLst>
            <a:ext uri="{FF2B5EF4-FFF2-40B4-BE49-F238E27FC236}">
              <a16:creationId xmlns:a16="http://schemas.microsoft.com/office/drawing/2014/main" id="{76A4661E-9CF0-43D1-802F-D42F0A88C9CF}"/>
            </a:ext>
          </a:extLst>
        </xdr:cNvPr>
        <xdr:cNvSpPr>
          <a:spLocks noChangeArrowheads="1"/>
        </xdr:cNvSpPr>
      </xdr:nvSpPr>
      <xdr:spPr bwMode="auto">
        <a:xfrm>
          <a:off x="8808720" y="6690360"/>
          <a:ext cx="386334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501015</xdr:colOff>
      <xdr:row>38</xdr:row>
      <xdr:rowOff>139064</xdr:rowOff>
    </xdr:from>
    <xdr:to>
      <xdr:col>17</xdr:col>
      <xdr:colOff>62865</xdr:colOff>
      <xdr:row>62</xdr:row>
      <xdr:rowOff>106679</xdr:rowOff>
    </xdr:to>
    <xdr:sp macro="" textlink="">
      <xdr:nvSpPr>
        <xdr:cNvPr id="1420" name="AutoShape 235">
          <a:extLst>
            <a:ext uri="{FF2B5EF4-FFF2-40B4-BE49-F238E27FC236}">
              <a16:creationId xmlns:a16="http://schemas.microsoft.com/office/drawing/2014/main" id="{B14417DA-25B6-4E6A-9A9C-1640AFCF2B05}"/>
            </a:ext>
          </a:extLst>
        </xdr:cNvPr>
        <xdr:cNvSpPr>
          <a:spLocks noChangeArrowheads="1"/>
        </xdr:cNvSpPr>
      </xdr:nvSpPr>
      <xdr:spPr bwMode="auto">
        <a:xfrm rot="5400000">
          <a:off x="10493692" y="8784907"/>
          <a:ext cx="425767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912495</xdr:colOff>
      <xdr:row>21</xdr:row>
      <xdr:rowOff>7621</xdr:rowOff>
    </xdr:from>
    <xdr:to>
      <xdr:col>8</xdr:col>
      <xdr:colOff>123825</xdr:colOff>
      <xdr:row>36</xdr:row>
      <xdr:rowOff>123826</xdr:rowOff>
    </xdr:to>
    <xdr:sp macro="" textlink="">
      <xdr:nvSpPr>
        <xdr:cNvPr id="1427" name="AutoShape 235">
          <a:extLst>
            <a:ext uri="{FF2B5EF4-FFF2-40B4-BE49-F238E27FC236}">
              <a16:creationId xmlns:a16="http://schemas.microsoft.com/office/drawing/2014/main" id="{C23ED905-914E-4F05-B283-416C5888D171}"/>
            </a:ext>
          </a:extLst>
        </xdr:cNvPr>
        <xdr:cNvSpPr>
          <a:spLocks noChangeArrowheads="1"/>
        </xdr:cNvSpPr>
      </xdr:nvSpPr>
      <xdr:spPr bwMode="auto">
        <a:xfrm rot="5400000">
          <a:off x="4365307" y="4814889"/>
          <a:ext cx="285940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243840</xdr:colOff>
      <xdr:row>21</xdr:row>
      <xdr:rowOff>15240</xdr:rowOff>
    </xdr:from>
    <xdr:to>
      <xdr:col>6</xdr:col>
      <xdr:colOff>590550</xdr:colOff>
      <xdr:row>63</xdr:row>
      <xdr:rowOff>114300</xdr:rowOff>
    </xdr:to>
    <xdr:sp macro="" textlink="">
      <xdr:nvSpPr>
        <xdr:cNvPr id="1429" name="AutoShape 235">
          <a:extLst>
            <a:ext uri="{FF2B5EF4-FFF2-40B4-BE49-F238E27FC236}">
              <a16:creationId xmlns:a16="http://schemas.microsoft.com/office/drawing/2014/main" id="{DCDF8177-73C0-40B0-91A6-BBDEFA0CA03D}"/>
            </a:ext>
          </a:extLst>
        </xdr:cNvPr>
        <xdr:cNvSpPr>
          <a:spLocks noChangeArrowheads="1"/>
        </xdr:cNvSpPr>
      </xdr:nvSpPr>
      <xdr:spPr bwMode="auto">
        <a:xfrm rot="5400000">
          <a:off x="462915" y="7271385"/>
          <a:ext cx="77571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601980</xdr:colOff>
      <xdr:row>21</xdr:row>
      <xdr:rowOff>45720</xdr:rowOff>
    </xdr:from>
    <xdr:to>
      <xdr:col>6</xdr:col>
      <xdr:colOff>163830</xdr:colOff>
      <xdr:row>74</xdr:row>
      <xdr:rowOff>205740</xdr:rowOff>
    </xdr:to>
    <xdr:sp macro="" textlink="">
      <xdr:nvSpPr>
        <xdr:cNvPr id="1431" name="AutoShape 235">
          <a:extLst>
            <a:ext uri="{FF2B5EF4-FFF2-40B4-BE49-F238E27FC236}">
              <a16:creationId xmlns:a16="http://schemas.microsoft.com/office/drawing/2014/main" id="{140BAC33-EAA1-4E8D-A35C-51692D264746}"/>
            </a:ext>
          </a:extLst>
        </xdr:cNvPr>
        <xdr:cNvSpPr>
          <a:spLocks noChangeArrowheads="1"/>
        </xdr:cNvSpPr>
      </xdr:nvSpPr>
      <xdr:spPr bwMode="auto">
        <a:xfrm rot="5400000">
          <a:off x="-984885" y="8322945"/>
          <a:ext cx="979932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731520</xdr:colOff>
      <xdr:row>20</xdr:row>
      <xdr:rowOff>53340</xdr:rowOff>
    </xdr:from>
    <xdr:to>
      <xdr:col>1</xdr:col>
      <xdr:colOff>293370</xdr:colOff>
      <xdr:row>98</xdr:row>
      <xdr:rowOff>144780</xdr:rowOff>
    </xdr:to>
    <xdr:sp macro="" textlink="">
      <xdr:nvSpPr>
        <xdr:cNvPr id="1433" name="AutoShape 235">
          <a:extLst>
            <a:ext uri="{FF2B5EF4-FFF2-40B4-BE49-F238E27FC236}">
              <a16:creationId xmlns:a16="http://schemas.microsoft.com/office/drawing/2014/main" id="{23D563AA-48F9-4F13-9AE7-E4AB9AC140D1}"/>
            </a:ext>
          </a:extLst>
        </xdr:cNvPr>
        <xdr:cNvSpPr>
          <a:spLocks noChangeArrowheads="1"/>
        </xdr:cNvSpPr>
      </xdr:nvSpPr>
      <xdr:spPr bwMode="auto">
        <a:xfrm rot="5400000">
          <a:off x="-6196965" y="10357485"/>
          <a:ext cx="142036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7620</xdr:colOff>
      <xdr:row>70</xdr:row>
      <xdr:rowOff>1</xdr:rowOff>
    </xdr:from>
    <xdr:to>
      <xdr:col>21</xdr:col>
      <xdr:colOff>769620</xdr:colOff>
      <xdr:row>71</xdr:row>
      <xdr:rowOff>1</xdr:rowOff>
    </xdr:to>
    <xdr:sp macro="" textlink="">
      <xdr:nvSpPr>
        <xdr:cNvPr id="1435" name="AutoShape 2">
          <a:extLst>
            <a:ext uri="{FF2B5EF4-FFF2-40B4-BE49-F238E27FC236}">
              <a16:creationId xmlns:a16="http://schemas.microsoft.com/office/drawing/2014/main" id="{6F6A2AD7-0AE5-4A10-B0C5-18AD2FE151B9}"/>
            </a:ext>
          </a:extLst>
        </xdr:cNvPr>
        <xdr:cNvSpPr>
          <a:spLocks noChangeArrowheads="1"/>
        </xdr:cNvSpPr>
      </xdr:nvSpPr>
      <xdr:spPr bwMode="auto">
        <a:xfrm>
          <a:off x="15880080" y="12451081"/>
          <a:ext cx="762000" cy="16764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0</xdr:colOff>
      <xdr:row>84</xdr:row>
      <xdr:rowOff>1</xdr:rowOff>
    </xdr:from>
    <xdr:to>
      <xdr:col>21</xdr:col>
      <xdr:colOff>769620</xdr:colOff>
      <xdr:row>84</xdr:row>
      <xdr:rowOff>175261</xdr:rowOff>
    </xdr:to>
    <xdr:sp macro="" textlink="">
      <xdr:nvSpPr>
        <xdr:cNvPr id="1436" name="AutoShape 2">
          <a:extLst>
            <a:ext uri="{FF2B5EF4-FFF2-40B4-BE49-F238E27FC236}">
              <a16:creationId xmlns:a16="http://schemas.microsoft.com/office/drawing/2014/main" id="{9295B702-639B-4AF2-9E37-A0CCDAF8479B}"/>
            </a:ext>
          </a:extLst>
        </xdr:cNvPr>
        <xdr:cNvSpPr>
          <a:spLocks noChangeArrowheads="1"/>
        </xdr:cNvSpPr>
      </xdr:nvSpPr>
      <xdr:spPr bwMode="auto">
        <a:xfrm>
          <a:off x="15872460" y="14942821"/>
          <a:ext cx="769620" cy="1752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0</xdr:colOff>
      <xdr:row>93</xdr:row>
      <xdr:rowOff>0</xdr:rowOff>
    </xdr:from>
    <xdr:to>
      <xdr:col>21</xdr:col>
      <xdr:colOff>769620</xdr:colOff>
      <xdr:row>94</xdr:row>
      <xdr:rowOff>38100</xdr:rowOff>
    </xdr:to>
    <xdr:sp macro="" textlink="">
      <xdr:nvSpPr>
        <xdr:cNvPr id="1438" name="AutoShape 2">
          <a:extLst>
            <a:ext uri="{FF2B5EF4-FFF2-40B4-BE49-F238E27FC236}">
              <a16:creationId xmlns:a16="http://schemas.microsoft.com/office/drawing/2014/main" id="{5EB591A7-BCC4-4278-8359-4062FA5213BC}"/>
            </a:ext>
          </a:extLst>
        </xdr:cNvPr>
        <xdr:cNvSpPr>
          <a:spLocks noChangeArrowheads="1"/>
        </xdr:cNvSpPr>
      </xdr:nvSpPr>
      <xdr:spPr bwMode="auto">
        <a:xfrm>
          <a:off x="15872460" y="16581120"/>
          <a:ext cx="769620" cy="2133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47625</xdr:colOff>
      <xdr:row>75</xdr:row>
      <xdr:rowOff>38100</xdr:rowOff>
    </xdr:from>
    <xdr:to>
      <xdr:col>14</xdr:col>
      <xdr:colOff>266700</xdr:colOff>
      <xdr:row>75</xdr:row>
      <xdr:rowOff>165735</xdr:rowOff>
    </xdr:to>
    <xdr:grpSp>
      <xdr:nvGrpSpPr>
        <xdr:cNvPr id="1448" name="Group 232">
          <a:extLst>
            <a:ext uri="{FF2B5EF4-FFF2-40B4-BE49-F238E27FC236}">
              <a16:creationId xmlns:a16="http://schemas.microsoft.com/office/drawing/2014/main" id="{C923CD25-CB20-4910-897E-406F3C023093}"/>
            </a:ext>
          </a:extLst>
        </xdr:cNvPr>
        <xdr:cNvGrpSpPr>
          <a:grpSpLocks/>
        </xdr:cNvGrpSpPr>
      </xdr:nvGrpSpPr>
      <xdr:grpSpPr bwMode="auto">
        <a:xfrm>
          <a:off x="11210925" y="13464540"/>
          <a:ext cx="219075" cy="127635"/>
          <a:chOff x="304" y="241"/>
          <a:chExt cx="29" cy="29"/>
        </a:xfrm>
      </xdr:grpSpPr>
      <xdr:sp macro="" textlink="">
        <xdr:nvSpPr>
          <xdr:cNvPr id="1449" name="Oval 233">
            <a:extLst>
              <a:ext uri="{FF2B5EF4-FFF2-40B4-BE49-F238E27FC236}">
                <a16:creationId xmlns:a16="http://schemas.microsoft.com/office/drawing/2014/main" id="{773AD9E3-0020-2979-45E1-0136B603C473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0" name="AutoShape 234">
            <a:extLst>
              <a:ext uri="{FF2B5EF4-FFF2-40B4-BE49-F238E27FC236}">
                <a16:creationId xmlns:a16="http://schemas.microsoft.com/office/drawing/2014/main" id="{02010740-2EBA-CC96-C3B5-07A5E7D809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772545</xdr:colOff>
      <xdr:row>74</xdr:row>
      <xdr:rowOff>346</xdr:rowOff>
    </xdr:from>
    <xdr:to>
      <xdr:col>21</xdr:col>
      <xdr:colOff>781233</xdr:colOff>
      <xdr:row>74</xdr:row>
      <xdr:rowOff>169713</xdr:rowOff>
    </xdr:to>
    <xdr:sp macro="" textlink="">
      <xdr:nvSpPr>
        <xdr:cNvPr id="1452" name="AutoShape 2">
          <a:extLst>
            <a:ext uri="{FF2B5EF4-FFF2-40B4-BE49-F238E27FC236}">
              <a16:creationId xmlns:a16="http://schemas.microsoft.com/office/drawing/2014/main" id="{FC907165-B2FA-44A4-B018-E55408DA57FB}"/>
            </a:ext>
          </a:extLst>
        </xdr:cNvPr>
        <xdr:cNvSpPr>
          <a:spLocks noChangeArrowheads="1"/>
        </xdr:cNvSpPr>
      </xdr:nvSpPr>
      <xdr:spPr bwMode="auto">
        <a:xfrm rot="21241643">
          <a:off x="11935845" y="13198186"/>
          <a:ext cx="4717848" cy="169367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783414</xdr:colOff>
      <xdr:row>77</xdr:row>
      <xdr:rowOff>8118</xdr:rowOff>
    </xdr:from>
    <xdr:to>
      <xdr:col>22</xdr:col>
      <xdr:colOff>19423</xdr:colOff>
      <xdr:row>78</xdr:row>
      <xdr:rowOff>40499</xdr:rowOff>
    </xdr:to>
    <xdr:sp macro="" textlink="">
      <xdr:nvSpPr>
        <xdr:cNvPr id="1453" name="AutoShape 2">
          <a:extLst>
            <a:ext uri="{FF2B5EF4-FFF2-40B4-BE49-F238E27FC236}">
              <a16:creationId xmlns:a16="http://schemas.microsoft.com/office/drawing/2014/main" id="{48AD9D82-129D-4C32-B3ED-173EB5AAE6A9}"/>
            </a:ext>
          </a:extLst>
        </xdr:cNvPr>
        <xdr:cNvSpPr>
          <a:spLocks noChangeArrowheads="1"/>
        </xdr:cNvSpPr>
      </xdr:nvSpPr>
      <xdr:spPr bwMode="auto">
        <a:xfrm rot="318807">
          <a:off x="11946714" y="13830798"/>
          <a:ext cx="4730029" cy="200021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648720</xdr:colOff>
      <xdr:row>85</xdr:row>
      <xdr:rowOff>160616</xdr:rowOff>
    </xdr:from>
    <xdr:to>
      <xdr:col>22</xdr:col>
      <xdr:colOff>186794</xdr:colOff>
      <xdr:row>86</xdr:row>
      <xdr:rowOff>156096</xdr:rowOff>
    </xdr:to>
    <xdr:sp macro="" textlink="">
      <xdr:nvSpPr>
        <xdr:cNvPr id="1454" name="AutoShape 2">
          <a:extLst>
            <a:ext uri="{FF2B5EF4-FFF2-40B4-BE49-F238E27FC236}">
              <a16:creationId xmlns:a16="http://schemas.microsoft.com/office/drawing/2014/main" id="{713A8022-1FC4-45F6-802C-334BE325F315}"/>
            </a:ext>
          </a:extLst>
        </xdr:cNvPr>
        <xdr:cNvSpPr>
          <a:spLocks noChangeArrowheads="1"/>
        </xdr:cNvSpPr>
      </xdr:nvSpPr>
      <xdr:spPr bwMode="auto">
        <a:xfrm rot="1272812">
          <a:off x="11812020" y="15400616"/>
          <a:ext cx="5032094" cy="2164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19</xdr:col>
      <xdr:colOff>0</xdr:colOff>
      <xdr:row>70</xdr:row>
      <xdr:rowOff>0</xdr:rowOff>
    </xdr:from>
    <xdr:to>
      <xdr:col>19</xdr:col>
      <xdr:colOff>762000</xdr:colOff>
      <xdr:row>71</xdr:row>
      <xdr:rowOff>0</xdr:rowOff>
    </xdr:to>
    <xdr:sp macro="" textlink="">
      <xdr:nvSpPr>
        <xdr:cNvPr id="1455" name="AutoShape 2">
          <a:extLst>
            <a:ext uri="{FF2B5EF4-FFF2-40B4-BE49-F238E27FC236}">
              <a16:creationId xmlns:a16="http://schemas.microsoft.com/office/drawing/2014/main" id="{4E56E260-E3D4-412E-87A7-DFE0EFDF4D0D}"/>
            </a:ext>
          </a:extLst>
        </xdr:cNvPr>
        <xdr:cNvSpPr>
          <a:spLocks noChangeArrowheads="1"/>
        </xdr:cNvSpPr>
      </xdr:nvSpPr>
      <xdr:spPr bwMode="auto">
        <a:xfrm>
          <a:off x="14302740" y="12451080"/>
          <a:ext cx="762000" cy="16764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361950</xdr:colOff>
      <xdr:row>91</xdr:row>
      <xdr:rowOff>41910</xdr:rowOff>
    </xdr:to>
    <xdr:grpSp>
      <xdr:nvGrpSpPr>
        <xdr:cNvPr id="1456" name="Group 60">
          <a:extLst>
            <a:ext uri="{FF2B5EF4-FFF2-40B4-BE49-F238E27FC236}">
              <a16:creationId xmlns:a16="http://schemas.microsoft.com/office/drawing/2014/main" id="{CE3891B5-189C-4AD2-A98D-7ABC401E6BCB}"/>
            </a:ext>
          </a:extLst>
        </xdr:cNvPr>
        <xdr:cNvGrpSpPr>
          <a:grpSpLocks/>
        </xdr:cNvGrpSpPr>
      </xdr:nvGrpSpPr>
      <xdr:grpSpPr bwMode="auto">
        <a:xfrm>
          <a:off x="10378440" y="16154400"/>
          <a:ext cx="361950" cy="209550"/>
          <a:chOff x="1860" y="222"/>
          <a:chExt cx="159" cy="139"/>
        </a:xfrm>
      </xdr:grpSpPr>
      <xdr:sp macro="" textlink="">
        <xdr:nvSpPr>
          <xdr:cNvPr id="1457" name="AutoShape 61">
            <a:extLst>
              <a:ext uri="{FF2B5EF4-FFF2-40B4-BE49-F238E27FC236}">
                <a16:creationId xmlns:a16="http://schemas.microsoft.com/office/drawing/2014/main" id="{8ADCAE2B-1062-93BD-0BA6-7F846D5590EC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8" name="Line 62">
            <a:extLst>
              <a:ext uri="{FF2B5EF4-FFF2-40B4-BE49-F238E27FC236}">
                <a16:creationId xmlns:a16="http://schemas.microsoft.com/office/drawing/2014/main" id="{8C5077C0-0D60-3CA4-FF02-F6FDE03B170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9" name="Line 63">
            <a:extLst>
              <a:ext uri="{FF2B5EF4-FFF2-40B4-BE49-F238E27FC236}">
                <a16:creationId xmlns:a16="http://schemas.microsoft.com/office/drawing/2014/main" id="{AEECB89A-2158-D470-2919-199AAC8869F4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0" name="Line 64">
            <a:extLst>
              <a:ext uri="{FF2B5EF4-FFF2-40B4-BE49-F238E27FC236}">
                <a16:creationId xmlns:a16="http://schemas.microsoft.com/office/drawing/2014/main" id="{65578B11-64F3-707B-94B1-A87B9234F29A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0</xdr:colOff>
      <xdr:row>78</xdr:row>
      <xdr:rowOff>0</xdr:rowOff>
    </xdr:from>
    <xdr:to>
      <xdr:col>16</xdr:col>
      <xdr:colOff>361950</xdr:colOff>
      <xdr:row>79</xdr:row>
      <xdr:rowOff>41910</xdr:rowOff>
    </xdr:to>
    <xdr:grpSp>
      <xdr:nvGrpSpPr>
        <xdr:cNvPr id="1466" name="Group 60">
          <a:extLst>
            <a:ext uri="{FF2B5EF4-FFF2-40B4-BE49-F238E27FC236}">
              <a16:creationId xmlns:a16="http://schemas.microsoft.com/office/drawing/2014/main" id="{6AAD6459-E6AD-4213-AFD8-A9259F9036FC}"/>
            </a:ext>
          </a:extLst>
        </xdr:cNvPr>
        <xdr:cNvGrpSpPr>
          <a:grpSpLocks/>
        </xdr:cNvGrpSpPr>
      </xdr:nvGrpSpPr>
      <xdr:grpSpPr bwMode="auto">
        <a:xfrm>
          <a:off x="12733020" y="13997940"/>
          <a:ext cx="361950" cy="209550"/>
          <a:chOff x="1860" y="222"/>
          <a:chExt cx="159" cy="139"/>
        </a:xfrm>
      </xdr:grpSpPr>
      <xdr:sp macro="" textlink="">
        <xdr:nvSpPr>
          <xdr:cNvPr id="1467" name="AutoShape 61">
            <a:extLst>
              <a:ext uri="{FF2B5EF4-FFF2-40B4-BE49-F238E27FC236}">
                <a16:creationId xmlns:a16="http://schemas.microsoft.com/office/drawing/2014/main" id="{D2D53072-9F52-B472-E6A6-4DFC3789C392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8" name="Line 62">
            <a:extLst>
              <a:ext uri="{FF2B5EF4-FFF2-40B4-BE49-F238E27FC236}">
                <a16:creationId xmlns:a16="http://schemas.microsoft.com/office/drawing/2014/main" id="{82B6D573-8497-A563-3AB1-0494FFD083CA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9" name="Line 63">
            <a:extLst>
              <a:ext uri="{FF2B5EF4-FFF2-40B4-BE49-F238E27FC236}">
                <a16:creationId xmlns:a16="http://schemas.microsoft.com/office/drawing/2014/main" id="{555DE6A0-62EA-1963-2595-E19714B5889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0" name="Line 64">
            <a:extLst>
              <a:ext uri="{FF2B5EF4-FFF2-40B4-BE49-F238E27FC236}">
                <a16:creationId xmlns:a16="http://schemas.microsoft.com/office/drawing/2014/main" id="{A387ED6E-9CED-5679-E048-28665367D1C3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361950</xdr:colOff>
      <xdr:row>68</xdr:row>
      <xdr:rowOff>41910</xdr:rowOff>
    </xdr:to>
    <xdr:grpSp>
      <xdr:nvGrpSpPr>
        <xdr:cNvPr id="1471" name="Group 60">
          <a:extLst>
            <a:ext uri="{FF2B5EF4-FFF2-40B4-BE49-F238E27FC236}">
              <a16:creationId xmlns:a16="http://schemas.microsoft.com/office/drawing/2014/main" id="{FFB2AF7A-36BB-4382-B080-06B77BB7604A}"/>
            </a:ext>
          </a:extLst>
        </xdr:cNvPr>
        <xdr:cNvGrpSpPr>
          <a:grpSpLocks/>
        </xdr:cNvGrpSpPr>
      </xdr:nvGrpSpPr>
      <xdr:grpSpPr bwMode="auto">
        <a:xfrm>
          <a:off x="11163300" y="11948160"/>
          <a:ext cx="361950" cy="209550"/>
          <a:chOff x="1860" y="222"/>
          <a:chExt cx="159" cy="139"/>
        </a:xfrm>
      </xdr:grpSpPr>
      <xdr:sp macro="" textlink="">
        <xdr:nvSpPr>
          <xdr:cNvPr id="1472" name="AutoShape 61">
            <a:extLst>
              <a:ext uri="{FF2B5EF4-FFF2-40B4-BE49-F238E27FC236}">
                <a16:creationId xmlns:a16="http://schemas.microsoft.com/office/drawing/2014/main" id="{9F367AB8-2FC4-CDC1-05BB-BE07B5E2048E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3" name="Line 62">
            <a:extLst>
              <a:ext uri="{FF2B5EF4-FFF2-40B4-BE49-F238E27FC236}">
                <a16:creationId xmlns:a16="http://schemas.microsoft.com/office/drawing/2014/main" id="{B072D927-8F23-583A-6DE3-17BD8D4FE64F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4" name="Line 63">
            <a:extLst>
              <a:ext uri="{FF2B5EF4-FFF2-40B4-BE49-F238E27FC236}">
                <a16:creationId xmlns:a16="http://schemas.microsoft.com/office/drawing/2014/main" id="{9415846D-A0ED-B94F-F484-CE4BC78D1C6D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5" name="Line 64">
            <a:extLst>
              <a:ext uri="{FF2B5EF4-FFF2-40B4-BE49-F238E27FC236}">
                <a16:creationId xmlns:a16="http://schemas.microsoft.com/office/drawing/2014/main" id="{5AEF910C-0739-7C0B-C323-530CCB7ECD03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0</xdr:colOff>
      <xdr:row>64</xdr:row>
      <xdr:rowOff>0</xdr:rowOff>
    </xdr:from>
    <xdr:to>
      <xdr:col>18</xdr:col>
      <xdr:colOff>361950</xdr:colOff>
      <xdr:row>65</xdr:row>
      <xdr:rowOff>34290</xdr:rowOff>
    </xdr:to>
    <xdr:grpSp>
      <xdr:nvGrpSpPr>
        <xdr:cNvPr id="1476" name="Group 60">
          <a:extLst>
            <a:ext uri="{FF2B5EF4-FFF2-40B4-BE49-F238E27FC236}">
              <a16:creationId xmlns:a16="http://schemas.microsoft.com/office/drawing/2014/main" id="{C84FEEA8-C018-43BC-A013-DFDDA47F492F}"/>
            </a:ext>
          </a:extLst>
        </xdr:cNvPr>
        <xdr:cNvGrpSpPr>
          <a:grpSpLocks/>
        </xdr:cNvGrpSpPr>
      </xdr:nvGrpSpPr>
      <xdr:grpSpPr bwMode="auto">
        <a:xfrm>
          <a:off x="14302740" y="11437620"/>
          <a:ext cx="361950" cy="209550"/>
          <a:chOff x="1860" y="222"/>
          <a:chExt cx="159" cy="139"/>
        </a:xfrm>
      </xdr:grpSpPr>
      <xdr:sp macro="" textlink="">
        <xdr:nvSpPr>
          <xdr:cNvPr id="1477" name="AutoShape 61">
            <a:extLst>
              <a:ext uri="{FF2B5EF4-FFF2-40B4-BE49-F238E27FC236}">
                <a16:creationId xmlns:a16="http://schemas.microsoft.com/office/drawing/2014/main" id="{F01CA7B9-3D3F-7FA9-89A5-1E0B7381D770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8" name="Line 62">
            <a:extLst>
              <a:ext uri="{FF2B5EF4-FFF2-40B4-BE49-F238E27FC236}">
                <a16:creationId xmlns:a16="http://schemas.microsoft.com/office/drawing/2014/main" id="{42EEC56A-58B2-A137-2FC7-E2A19194CC79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9" name="Line 63">
            <a:extLst>
              <a:ext uri="{FF2B5EF4-FFF2-40B4-BE49-F238E27FC236}">
                <a16:creationId xmlns:a16="http://schemas.microsoft.com/office/drawing/2014/main" id="{27334163-363C-EA1B-C936-1E5E27702595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80" name="Line 64">
            <a:extLst>
              <a:ext uri="{FF2B5EF4-FFF2-40B4-BE49-F238E27FC236}">
                <a16:creationId xmlns:a16="http://schemas.microsoft.com/office/drawing/2014/main" id="{F50B0D79-5D20-4E52-9292-8D8FFA73987D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15240</xdr:colOff>
      <xdr:row>110</xdr:row>
      <xdr:rowOff>114300</xdr:rowOff>
    </xdr:from>
    <xdr:to>
      <xdr:col>19</xdr:col>
      <xdr:colOff>335280</xdr:colOff>
      <xdr:row>113</xdr:row>
      <xdr:rowOff>85725</xdr:rowOff>
    </xdr:to>
    <xdr:grpSp>
      <xdr:nvGrpSpPr>
        <xdr:cNvPr id="1481" name="Group 245">
          <a:extLst>
            <a:ext uri="{FF2B5EF4-FFF2-40B4-BE49-F238E27FC236}">
              <a16:creationId xmlns:a16="http://schemas.microsoft.com/office/drawing/2014/main" id="{A024D46B-806E-4CB7-8D11-F98E179A4F0D}"/>
            </a:ext>
          </a:extLst>
        </xdr:cNvPr>
        <xdr:cNvGrpSpPr>
          <a:grpSpLocks/>
        </xdr:cNvGrpSpPr>
      </xdr:nvGrpSpPr>
      <xdr:grpSpPr bwMode="auto">
        <a:xfrm>
          <a:off x="10393680" y="19766280"/>
          <a:ext cx="5029200" cy="474345"/>
          <a:chOff x="79" y="968"/>
          <a:chExt cx="303" cy="36"/>
        </a:xfrm>
      </xdr:grpSpPr>
      <xdr:sp macro="" textlink="">
        <xdr:nvSpPr>
          <xdr:cNvPr id="1482" name="Line 237">
            <a:extLst>
              <a:ext uri="{FF2B5EF4-FFF2-40B4-BE49-F238E27FC236}">
                <a16:creationId xmlns:a16="http://schemas.microsoft.com/office/drawing/2014/main" id="{DBFBB05D-DFAD-2DB4-4F42-70E427EC7AA9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3" name="Line 241">
            <a:extLst>
              <a:ext uri="{FF2B5EF4-FFF2-40B4-BE49-F238E27FC236}">
                <a16:creationId xmlns:a16="http://schemas.microsoft.com/office/drawing/2014/main" id="{5E0C0362-AC36-AA4F-45A7-3C6B0BB7A4C9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4" name="Line 242">
            <a:extLst>
              <a:ext uri="{FF2B5EF4-FFF2-40B4-BE49-F238E27FC236}">
                <a16:creationId xmlns:a16="http://schemas.microsoft.com/office/drawing/2014/main" id="{D94ECD37-50CD-D7B4-B3FD-6346C66B98B6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5" name="Line 243">
            <a:extLst>
              <a:ext uri="{FF2B5EF4-FFF2-40B4-BE49-F238E27FC236}">
                <a16:creationId xmlns:a16="http://schemas.microsoft.com/office/drawing/2014/main" id="{58705FB5-9CC4-122D-CF03-4F6892F2B918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6" name="Line 244">
            <a:extLst>
              <a:ext uri="{FF2B5EF4-FFF2-40B4-BE49-F238E27FC236}">
                <a16:creationId xmlns:a16="http://schemas.microsoft.com/office/drawing/2014/main" id="{9ECA9210-733A-AA51-A801-44FC732AAD1C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114300</xdr:colOff>
      <xdr:row>110</xdr:row>
      <xdr:rowOff>114300</xdr:rowOff>
    </xdr:from>
    <xdr:to>
      <xdr:col>22</xdr:col>
      <xdr:colOff>723900</xdr:colOff>
      <xdr:row>113</xdr:row>
      <xdr:rowOff>85725</xdr:rowOff>
    </xdr:to>
    <xdr:grpSp>
      <xdr:nvGrpSpPr>
        <xdr:cNvPr id="1487" name="Group 245">
          <a:extLst>
            <a:ext uri="{FF2B5EF4-FFF2-40B4-BE49-F238E27FC236}">
              <a16:creationId xmlns:a16="http://schemas.microsoft.com/office/drawing/2014/main" id="{9567434B-5252-4728-87B8-81262B21A708}"/>
            </a:ext>
          </a:extLst>
        </xdr:cNvPr>
        <xdr:cNvGrpSpPr>
          <a:grpSpLocks/>
        </xdr:cNvGrpSpPr>
      </xdr:nvGrpSpPr>
      <xdr:grpSpPr bwMode="auto">
        <a:xfrm>
          <a:off x="15201900" y="19766280"/>
          <a:ext cx="2964180" cy="474345"/>
          <a:chOff x="79" y="968"/>
          <a:chExt cx="303" cy="36"/>
        </a:xfrm>
      </xdr:grpSpPr>
      <xdr:sp macro="" textlink="">
        <xdr:nvSpPr>
          <xdr:cNvPr id="1488" name="Line 237">
            <a:extLst>
              <a:ext uri="{FF2B5EF4-FFF2-40B4-BE49-F238E27FC236}">
                <a16:creationId xmlns:a16="http://schemas.microsoft.com/office/drawing/2014/main" id="{DE81975C-2755-BEF7-3A03-F45850F138E1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89" name="Line 241">
            <a:extLst>
              <a:ext uri="{FF2B5EF4-FFF2-40B4-BE49-F238E27FC236}">
                <a16:creationId xmlns:a16="http://schemas.microsoft.com/office/drawing/2014/main" id="{D8EB20F3-6A29-DCFE-4577-6863AC25652D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0" name="Line 242">
            <a:extLst>
              <a:ext uri="{FF2B5EF4-FFF2-40B4-BE49-F238E27FC236}">
                <a16:creationId xmlns:a16="http://schemas.microsoft.com/office/drawing/2014/main" id="{B53BCD6A-0F69-3E6F-AD7F-9C14CE707DD0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1" name="Line 243">
            <a:extLst>
              <a:ext uri="{FF2B5EF4-FFF2-40B4-BE49-F238E27FC236}">
                <a16:creationId xmlns:a16="http://schemas.microsoft.com/office/drawing/2014/main" id="{C1189839-9B57-3AF9-40B6-64A3384CF8BA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2" name="Line 244">
            <a:extLst>
              <a:ext uri="{FF2B5EF4-FFF2-40B4-BE49-F238E27FC236}">
                <a16:creationId xmlns:a16="http://schemas.microsoft.com/office/drawing/2014/main" id="{E7840BCA-052B-4DB7-7F00-5F88632C15A0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236220</xdr:colOff>
      <xdr:row>110</xdr:row>
      <xdr:rowOff>91440</xdr:rowOff>
    </xdr:from>
    <xdr:to>
      <xdr:col>9</xdr:col>
      <xdr:colOff>15240</xdr:colOff>
      <xdr:row>113</xdr:row>
      <xdr:rowOff>62865</xdr:rowOff>
    </xdr:to>
    <xdr:grpSp>
      <xdr:nvGrpSpPr>
        <xdr:cNvPr id="1493" name="Group 245">
          <a:extLst>
            <a:ext uri="{FF2B5EF4-FFF2-40B4-BE49-F238E27FC236}">
              <a16:creationId xmlns:a16="http://schemas.microsoft.com/office/drawing/2014/main" id="{936CE4FB-FB70-49C4-A9BF-9B89BBAEFABE}"/>
            </a:ext>
          </a:extLst>
        </xdr:cNvPr>
        <xdr:cNvGrpSpPr>
          <a:grpSpLocks/>
        </xdr:cNvGrpSpPr>
      </xdr:nvGrpSpPr>
      <xdr:grpSpPr bwMode="auto">
        <a:xfrm>
          <a:off x="1021080" y="19743420"/>
          <a:ext cx="6408420" cy="474345"/>
          <a:chOff x="79" y="968"/>
          <a:chExt cx="303" cy="36"/>
        </a:xfrm>
      </xdr:grpSpPr>
      <xdr:sp macro="" textlink="">
        <xdr:nvSpPr>
          <xdr:cNvPr id="1494" name="Line 237">
            <a:extLst>
              <a:ext uri="{FF2B5EF4-FFF2-40B4-BE49-F238E27FC236}">
                <a16:creationId xmlns:a16="http://schemas.microsoft.com/office/drawing/2014/main" id="{89DEFCB7-60F3-B643-0906-AAD5F0D8C263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5" name="Line 241">
            <a:extLst>
              <a:ext uri="{FF2B5EF4-FFF2-40B4-BE49-F238E27FC236}">
                <a16:creationId xmlns:a16="http://schemas.microsoft.com/office/drawing/2014/main" id="{3E800656-7244-198D-D2C0-98BA40862606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6" name="Line 242">
            <a:extLst>
              <a:ext uri="{FF2B5EF4-FFF2-40B4-BE49-F238E27FC236}">
                <a16:creationId xmlns:a16="http://schemas.microsoft.com/office/drawing/2014/main" id="{6AB68B1C-3539-F8E9-BE4C-646F7D6041C3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7" name="Line 243">
            <a:extLst>
              <a:ext uri="{FF2B5EF4-FFF2-40B4-BE49-F238E27FC236}">
                <a16:creationId xmlns:a16="http://schemas.microsoft.com/office/drawing/2014/main" id="{5D54487D-D038-D05A-97E1-C0414795AB40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98" name="Line 244">
            <a:extLst>
              <a:ext uri="{FF2B5EF4-FFF2-40B4-BE49-F238E27FC236}">
                <a16:creationId xmlns:a16="http://schemas.microsoft.com/office/drawing/2014/main" id="{7BAFAC65-AB65-810A-B837-11B1E2565A83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49</xdr:row>
      <xdr:rowOff>0</xdr:rowOff>
    </xdr:from>
    <xdr:to>
      <xdr:col>7</xdr:col>
      <xdr:colOff>361950</xdr:colOff>
      <xdr:row>50</xdr:row>
      <xdr:rowOff>41910</xdr:rowOff>
    </xdr:to>
    <xdr:grpSp>
      <xdr:nvGrpSpPr>
        <xdr:cNvPr id="1499" name="Group 60">
          <a:extLst>
            <a:ext uri="{FF2B5EF4-FFF2-40B4-BE49-F238E27FC236}">
              <a16:creationId xmlns:a16="http://schemas.microsoft.com/office/drawing/2014/main" id="{E2F4B98F-482A-4855-8F2A-90830BA59CDC}"/>
            </a:ext>
          </a:extLst>
        </xdr:cNvPr>
        <xdr:cNvGrpSpPr>
          <a:grpSpLocks/>
        </xdr:cNvGrpSpPr>
      </xdr:nvGrpSpPr>
      <xdr:grpSpPr bwMode="auto">
        <a:xfrm>
          <a:off x="5494020" y="8679180"/>
          <a:ext cx="361950" cy="209550"/>
          <a:chOff x="1860" y="222"/>
          <a:chExt cx="159" cy="139"/>
        </a:xfrm>
      </xdr:grpSpPr>
      <xdr:sp macro="" textlink="">
        <xdr:nvSpPr>
          <xdr:cNvPr id="1500" name="AutoShape 61">
            <a:extLst>
              <a:ext uri="{FF2B5EF4-FFF2-40B4-BE49-F238E27FC236}">
                <a16:creationId xmlns:a16="http://schemas.microsoft.com/office/drawing/2014/main" id="{9416778A-7079-36E8-9645-1A16AB108EBD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1" name="Line 62">
            <a:extLst>
              <a:ext uri="{FF2B5EF4-FFF2-40B4-BE49-F238E27FC236}">
                <a16:creationId xmlns:a16="http://schemas.microsoft.com/office/drawing/2014/main" id="{A692E5DF-3376-B8FC-FDF2-16513C5647A7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2" name="Line 63">
            <a:extLst>
              <a:ext uri="{FF2B5EF4-FFF2-40B4-BE49-F238E27FC236}">
                <a16:creationId xmlns:a16="http://schemas.microsoft.com/office/drawing/2014/main" id="{B553F703-CBC4-9011-E4B7-BF677EE59B2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3" name="Line 64">
            <a:extLst>
              <a:ext uri="{FF2B5EF4-FFF2-40B4-BE49-F238E27FC236}">
                <a16:creationId xmlns:a16="http://schemas.microsoft.com/office/drawing/2014/main" id="{C5031614-96F4-027F-4A00-015140689468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723900</xdr:colOff>
      <xdr:row>63</xdr:row>
      <xdr:rowOff>187830</xdr:rowOff>
    </xdr:from>
    <xdr:to>
      <xdr:col>5</xdr:col>
      <xdr:colOff>22860</xdr:colOff>
      <xdr:row>66</xdr:row>
      <xdr:rowOff>59602</xdr:rowOff>
    </xdr:to>
    <xdr:pic>
      <xdr:nvPicPr>
        <xdr:cNvPr id="1506" name="Picture 92">
          <a:extLst>
            <a:ext uri="{FF2B5EF4-FFF2-40B4-BE49-F238E27FC236}">
              <a16:creationId xmlns:a16="http://schemas.microsoft.com/office/drawing/2014/main" id="{D3E7DD8A-043B-4EDD-9364-D954CE0C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11404470"/>
          <a:ext cx="868680" cy="43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5</xdr:col>
      <xdr:colOff>167640</xdr:colOff>
      <xdr:row>29</xdr:row>
      <xdr:rowOff>166672</xdr:rowOff>
    </xdr:to>
    <xdr:pic>
      <xdr:nvPicPr>
        <xdr:cNvPr id="1508" name="Picture 92">
          <a:extLst>
            <a:ext uri="{FF2B5EF4-FFF2-40B4-BE49-F238E27FC236}">
              <a16:creationId xmlns:a16="http://schemas.microsoft.com/office/drawing/2014/main" id="{27F8D666-0011-4C15-8761-11E06C431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440" y="4594860"/>
          <a:ext cx="952500" cy="501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600075</xdr:colOff>
      <xdr:row>66</xdr:row>
      <xdr:rowOff>148590</xdr:rowOff>
    </xdr:to>
    <xdr:pic>
      <xdr:nvPicPr>
        <xdr:cNvPr id="1511" name="Picture 92">
          <a:extLst>
            <a:ext uri="{FF2B5EF4-FFF2-40B4-BE49-F238E27FC236}">
              <a16:creationId xmlns:a16="http://schemas.microsoft.com/office/drawing/2014/main" id="{911C8863-9015-4DB4-894A-559BD9B30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16128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0</xdr:colOff>
      <xdr:row>78</xdr:row>
      <xdr:rowOff>0</xdr:rowOff>
    </xdr:from>
    <xdr:to>
      <xdr:col>17</xdr:col>
      <xdr:colOff>600075</xdr:colOff>
      <xdr:row>79</xdr:row>
      <xdr:rowOff>148590</xdr:rowOff>
    </xdr:to>
    <xdr:pic>
      <xdr:nvPicPr>
        <xdr:cNvPr id="1512" name="Picture 92">
          <a:extLst>
            <a:ext uri="{FF2B5EF4-FFF2-40B4-BE49-F238E27FC236}">
              <a16:creationId xmlns:a16="http://schemas.microsoft.com/office/drawing/2014/main" id="{DF9354BE-39B5-4227-A251-5CA4DCFC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7880" y="1399794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0</xdr:colOff>
      <xdr:row>67</xdr:row>
      <xdr:rowOff>0</xdr:rowOff>
    </xdr:from>
    <xdr:to>
      <xdr:col>19</xdr:col>
      <xdr:colOff>600075</xdr:colOff>
      <xdr:row>68</xdr:row>
      <xdr:rowOff>148590</xdr:rowOff>
    </xdr:to>
    <xdr:pic>
      <xdr:nvPicPr>
        <xdr:cNvPr id="1516" name="Picture 92">
          <a:extLst>
            <a:ext uri="{FF2B5EF4-FFF2-40B4-BE49-F238E27FC236}">
              <a16:creationId xmlns:a16="http://schemas.microsoft.com/office/drawing/2014/main" id="{0EE9514E-D7F4-400C-B1CC-A902BE55C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194816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600075</xdr:colOff>
      <xdr:row>93</xdr:row>
      <xdr:rowOff>148590</xdr:rowOff>
    </xdr:to>
    <xdr:pic>
      <xdr:nvPicPr>
        <xdr:cNvPr id="1517" name="Picture 92">
          <a:extLst>
            <a:ext uri="{FF2B5EF4-FFF2-40B4-BE49-F238E27FC236}">
              <a16:creationId xmlns:a16="http://schemas.microsoft.com/office/drawing/2014/main" id="{D7099841-8DE6-4094-A8EF-976FB74CC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64896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600075</xdr:colOff>
      <xdr:row>5</xdr:row>
      <xdr:rowOff>148590</xdr:rowOff>
    </xdr:to>
    <xdr:pic>
      <xdr:nvPicPr>
        <xdr:cNvPr id="1518" name="Picture 92">
          <a:extLst>
            <a:ext uri="{FF2B5EF4-FFF2-40B4-BE49-F238E27FC236}">
              <a16:creationId xmlns:a16="http://schemas.microsoft.com/office/drawing/2014/main" id="{518B51C1-4035-45DA-A08A-17A588256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6781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0</xdr:colOff>
      <xdr:row>60</xdr:row>
      <xdr:rowOff>0</xdr:rowOff>
    </xdr:from>
    <xdr:to>
      <xdr:col>20</xdr:col>
      <xdr:colOff>600075</xdr:colOff>
      <xdr:row>61</xdr:row>
      <xdr:rowOff>95250</xdr:rowOff>
    </xdr:to>
    <xdr:pic>
      <xdr:nvPicPr>
        <xdr:cNvPr id="1520" name="Picture 92">
          <a:extLst>
            <a:ext uri="{FF2B5EF4-FFF2-40B4-BE49-F238E27FC236}">
              <a16:creationId xmlns:a16="http://schemas.microsoft.com/office/drawing/2014/main" id="{81B16C9A-43F3-4C90-A47F-BE3693982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2460" y="1059180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600075</xdr:colOff>
      <xdr:row>91</xdr:row>
      <xdr:rowOff>148590</xdr:rowOff>
    </xdr:to>
    <xdr:pic>
      <xdr:nvPicPr>
        <xdr:cNvPr id="1521" name="Picture 92">
          <a:extLst>
            <a:ext uri="{FF2B5EF4-FFF2-40B4-BE49-F238E27FC236}">
              <a16:creationId xmlns:a16="http://schemas.microsoft.com/office/drawing/2014/main" id="{EE9C1A43-3EFD-4D7D-B1CB-B9B2F107F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1615440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600075</xdr:colOff>
      <xdr:row>50</xdr:row>
      <xdr:rowOff>148590</xdr:rowOff>
    </xdr:to>
    <xdr:pic>
      <xdr:nvPicPr>
        <xdr:cNvPr id="1522" name="Picture 92">
          <a:extLst>
            <a:ext uri="{FF2B5EF4-FFF2-40B4-BE49-F238E27FC236}">
              <a16:creationId xmlns:a16="http://schemas.microsoft.com/office/drawing/2014/main" id="{BB9CFB25-25F5-4DDD-A5CF-B34291663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791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600075</xdr:colOff>
      <xdr:row>52</xdr:row>
      <xdr:rowOff>148590</xdr:rowOff>
    </xdr:to>
    <xdr:pic>
      <xdr:nvPicPr>
        <xdr:cNvPr id="1523" name="Picture 92">
          <a:extLst>
            <a:ext uri="{FF2B5EF4-FFF2-40B4-BE49-F238E27FC236}">
              <a16:creationId xmlns:a16="http://schemas.microsoft.com/office/drawing/2014/main" id="{F4D31C8A-8F80-481B-93D2-A5308FA1F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" y="901446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102</xdr:row>
      <xdr:rowOff>0</xdr:rowOff>
    </xdr:from>
    <xdr:to>
      <xdr:col>12</xdr:col>
      <xdr:colOff>600075</xdr:colOff>
      <xdr:row>103</xdr:row>
      <xdr:rowOff>148590</xdr:rowOff>
    </xdr:to>
    <xdr:pic>
      <xdr:nvPicPr>
        <xdr:cNvPr id="3" name="Picture 92">
          <a:extLst>
            <a:ext uri="{FF2B5EF4-FFF2-40B4-BE49-F238E27FC236}">
              <a16:creationId xmlns:a16="http://schemas.microsoft.com/office/drawing/2014/main" id="{5E9455C3-051A-4CCE-AE4C-2A1C2D3E0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3580" y="1829562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236220</xdr:colOff>
      <xdr:row>3</xdr:row>
      <xdr:rowOff>0</xdr:rowOff>
    </xdr:from>
    <xdr:to>
      <xdr:col>11</xdr:col>
      <xdr:colOff>487680</xdr:colOff>
      <xdr:row>4</xdr:row>
      <xdr:rowOff>60960</xdr:rowOff>
    </xdr:to>
    <xdr:sp macro="" textlink="">
      <xdr:nvSpPr>
        <xdr:cNvPr id="4" name="AutoShape 33">
          <a:extLst>
            <a:ext uri="{FF2B5EF4-FFF2-40B4-BE49-F238E27FC236}">
              <a16:creationId xmlns:a16="http://schemas.microsoft.com/office/drawing/2014/main" id="{A82B8F9E-B5B0-4C72-9106-47CDFD493993}"/>
            </a:ext>
          </a:extLst>
        </xdr:cNvPr>
        <xdr:cNvSpPr>
          <a:spLocks noChangeArrowheads="1"/>
        </xdr:cNvSpPr>
      </xdr:nvSpPr>
      <xdr:spPr bwMode="auto">
        <a:xfrm rot="10800000">
          <a:off x="3375660" y="510540"/>
          <a:ext cx="6179820" cy="22860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4</xdr:col>
      <xdr:colOff>201930</xdr:colOff>
      <xdr:row>3</xdr:row>
      <xdr:rowOff>99060</xdr:rowOff>
    </xdr:from>
    <xdr:to>
      <xdr:col>4</xdr:col>
      <xdr:colOff>403860</xdr:colOff>
      <xdr:row>17</xdr:row>
      <xdr:rowOff>0</xdr:rowOff>
    </xdr:to>
    <xdr:sp macro="" textlink="">
      <xdr:nvSpPr>
        <xdr:cNvPr id="5" name="AutoShape 33">
          <a:extLst>
            <a:ext uri="{FF2B5EF4-FFF2-40B4-BE49-F238E27FC236}">
              <a16:creationId xmlns:a16="http://schemas.microsoft.com/office/drawing/2014/main" id="{EB45A5C3-53F3-4AF7-8055-A08D5A69FB0D}"/>
            </a:ext>
          </a:extLst>
        </xdr:cNvPr>
        <xdr:cNvSpPr>
          <a:spLocks noChangeArrowheads="1"/>
        </xdr:cNvSpPr>
      </xdr:nvSpPr>
      <xdr:spPr bwMode="auto">
        <a:xfrm rot="5400000">
          <a:off x="2310765" y="1640205"/>
          <a:ext cx="2263140" cy="20193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600075</xdr:colOff>
      <xdr:row>6</xdr:row>
      <xdr:rowOff>148590</xdr:rowOff>
    </xdr:to>
    <xdr:pic>
      <xdr:nvPicPr>
        <xdr:cNvPr id="15" name="Picture 92">
          <a:extLst>
            <a:ext uri="{FF2B5EF4-FFF2-40B4-BE49-F238E27FC236}">
              <a16:creationId xmlns:a16="http://schemas.microsoft.com/office/drawing/2014/main" id="{38427465-459E-4827-B5BC-E6FADAF51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4582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45720</xdr:colOff>
      <xdr:row>49</xdr:row>
      <xdr:rowOff>144780</xdr:rowOff>
    </xdr:from>
    <xdr:to>
      <xdr:col>10</xdr:col>
      <xdr:colOff>762000</xdr:colOff>
      <xdr:row>51</xdr:row>
      <xdr:rowOff>144780</xdr:rowOff>
    </xdr:to>
    <xdr:grpSp>
      <xdr:nvGrpSpPr>
        <xdr:cNvPr id="16" name="Group 39">
          <a:extLst>
            <a:ext uri="{FF2B5EF4-FFF2-40B4-BE49-F238E27FC236}">
              <a16:creationId xmlns:a16="http://schemas.microsoft.com/office/drawing/2014/main" id="{CFF65778-A5F8-4110-BBEA-467301DD2EDC}"/>
            </a:ext>
          </a:extLst>
        </xdr:cNvPr>
        <xdr:cNvGrpSpPr>
          <a:grpSpLocks/>
        </xdr:cNvGrpSpPr>
      </xdr:nvGrpSpPr>
      <xdr:grpSpPr bwMode="auto">
        <a:xfrm>
          <a:off x="8244840" y="8823960"/>
          <a:ext cx="716280" cy="335280"/>
          <a:chOff x="320" y="533"/>
          <a:chExt cx="52" cy="52"/>
        </a:xfrm>
      </xdr:grpSpPr>
      <xdr:sp macro="" textlink="">
        <xdr:nvSpPr>
          <xdr:cNvPr id="17" name="Rectangle 40">
            <a:extLst>
              <a:ext uri="{FF2B5EF4-FFF2-40B4-BE49-F238E27FC236}">
                <a16:creationId xmlns:a16="http://schemas.microsoft.com/office/drawing/2014/main" id="{0D5118D7-EF54-034F-C054-179DBC0E414A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" name="Rectangle 41">
            <a:extLst>
              <a:ext uri="{FF2B5EF4-FFF2-40B4-BE49-F238E27FC236}">
                <a16:creationId xmlns:a16="http://schemas.microsoft.com/office/drawing/2014/main" id="{42770B83-581C-FCF4-26BC-99424861EF82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" name="AutoShape 42">
            <a:extLst>
              <a:ext uri="{FF2B5EF4-FFF2-40B4-BE49-F238E27FC236}">
                <a16:creationId xmlns:a16="http://schemas.microsoft.com/office/drawing/2014/main" id="{FC521934-DA40-64B0-6085-F19FEE52DCBD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0" name="AutoShape 43">
            <a:extLst>
              <a:ext uri="{FF2B5EF4-FFF2-40B4-BE49-F238E27FC236}">
                <a16:creationId xmlns:a16="http://schemas.microsoft.com/office/drawing/2014/main" id="{C26D9932-E327-C617-5F62-8BC1B5BCF0B8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" name="AutoShape 44">
            <a:extLst>
              <a:ext uri="{FF2B5EF4-FFF2-40B4-BE49-F238E27FC236}">
                <a16:creationId xmlns:a16="http://schemas.microsoft.com/office/drawing/2014/main" id="{91F97FB3-3D37-FEB3-5988-9C9DE406D048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0" name="AutoShape 45">
            <a:extLst>
              <a:ext uri="{FF2B5EF4-FFF2-40B4-BE49-F238E27FC236}">
                <a16:creationId xmlns:a16="http://schemas.microsoft.com/office/drawing/2014/main" id="{B97FE305-BAF7-0CF9-B1CA-E5AA093C8D13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391813</xdr:colOff>
      <xdr:row>55</xdr:row>
      <xdr:rowOff>142407</xdr:rowOff>
    </xdr:from>
    <xdr:to>
      <xdr:col>18</xdr:col>
      <xdr:colOff>33093</xdr:colOff>
      <xdr:row>58</xdr:row>
      <xdr:rowOff>123442</xdr:rowOff>
    </xdr:to>
    <xdr:sp macro="" textlink="">
      <xdr:nvSpPr>
        <xdr:cNvPr id="32" name="AutoShape 235">
          <a:extLst>
            <a:ext uri="{FF2B5EF4-FFF2-40B4-BE49-F238E27FC236}">
              <a16:creationId xmlns:a16="http://schemas.microsoft.com/office/drawing/2014/main" id="{91A3A6A4-ECC1-4852-A00E-657C2FD3B913}"/>
            </a:ext>
          </a:extLst>
        </xdr:cNvPr>
        <xdr:cNvSpPr>
          <a:spLocks noChangeArrowheads="1"/>
        </xdr:cNvSpPr>
      </xdr:nvSpPr>
      <xdr:spPr bwMode="auto">
        <a:xfrm rot="2175629">
          <a:off x="8590933" y="9827427"/>
          <a:ext cx="5744900" cy="49157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47</xdr:row>
      <xdr:rowOff>38100</xdr:rowOff>
    </xdr:from>
    <xdr:to>
      <xdr:col>10</xdr:col>
      <xdr:colOff>266700</xdr:colOff>
      <xdr:row>47</xdr:row>
      <xdr:rowOff>219075</xdr:rowOff>
    </xdr:to>
    <xdr:grpSp>
      <xdr:nvGrpSpPr>
        <xdr:cNvPr id="2" name="Group 232">
          <a:extLst>
            <a:ext uri="{FF2B5EF4-FFF2-40B4-BE49-F238E27FC236}">
              <a16:creationId xmlns:a16="http://schemas.microsoft.com/office/drawing/2014/main" id="{B9D2DAF8-ABB0-4907-8CCD-647CEE504996}"/>
            </a:ext>
          </a:extLst>
        </xdr:cNvPr>
        <xdr:cNvGrpSpPr>
          <a:grpSpLocks/>
        </xdr:cNvGrpSpPr>
      </xdr:nvGrpSpPr>
      <xdr:grpSpPr bwMode="auto">
        <a:xfrm>
          <a:off x="8246745" y="8511540"/>
          <a:ext cx="219075" cy="180975"/>
          <a:chOff x="304" y="241"/>
          <a:chExt cx="29" cy="29"/>
        </a:xfrm>
      </xdr:grpSpPr>
      <xdr:sp macro="" textlink="">
        <xdr:nvSpPr>
          <xdr:cNvPr id="3" name="Oval 233">
            <a:extLst>
              <a:ext uri="{FF2B5EF4-FFF2-40B4-BE49-F238E27FC236}">
                <a16:creationId xmlns:a16="http://schemas.microsoft.com/office/drawing/2014/main" id="{206DC11C-1090-CFB6-AC8C-9CCC9EB3E49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" name="AutoShape 234">
            <a:extLst>
              <a:ext uri="{FF2B5EF4-FFF2-40B4-BE49-F238E27FC236}">
                <a16:creationId xmlns:a16="http://schemas.microsoft.com/office/drawing/2014/main" id="{8F09E6F6-3988-B168-6A21-74F93AC2F9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</xdr:col>
      <xdr:colOff>9524</xdr:colOff>
      <xdr:row>46</xdr:row>
      <xdr:rowOff>104775</xdr:rowOff>
    </xdr:from>
    <xdr:to>
      <xdr:col>13</xdr:col>
      <xdr:colOff>769619</xdr:colOff>
      <xdr:row>48</xdr:row>
      <xdr:rowOff>9525</xdr:rowOff>
    </xdr:to>
    <xdr:sp macro="" textlink="">
      <xdr:nvSpPr>
        <xdr:cNvPr id="6" name="AutoShape 236">
          <a:extLst>
            <a:ext uri="{FF2B5EF4-FFF2-40B4-BE49-F238E27FC236}">
              <a16:creationId xmlns:a16="http://schemas.microsoft.com/office/drawing/2014/main" id="{BD67B60A-0DEA-4914-BCFF-3AF2EC2DE3E3}"/>
            </a:ext>
          </a:extLst>
        </xdr:cNvPr>
        <xdr:cNvSpPr>
          <a:spLocks noChangeArrowheads="1"/>
        </xdr:cNvSpPr>
      </xdr:nvSpPr>
      <xdr:spPr bwMode="auto">
        <a:xfrm>
          <a:off x="3933824" y="8166735"/>
          <a:ext cx="154495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782955</xdr:colOff>
      <xdr:row>110</xdr:row>
      <xdr:rowOff>121920</xdr:rowOff>
    </xdr:from>
    <xdr:to>
      <xdr:col>12</xdr:col>
      <xdr:colOff>782955</xdr:colOff>
      <xdr:row>113</xdr:row>
      <xdr:rowOff>93345</xdr:rowOff>
    </xdr:to>
    <xdr:grpSp>
      <xdr:nvGrpSpPr>
        <xdr:cNvPr id="7" name="Group 245">
          <a:extLst>
            <a:ext uri="{FF2B5EF4-FFF2-40B4-BE49-F238E27FC236}">
              <a16:creationId xmlns:a16="http://schemas.microsoft.com/office/drawing/2014/main" id="{1C8DB745-A118-45CD-8C11-6DFE94BFAC97}"/>
            </a:ext>
          </a:extLst>
        </xdr:cNvPr>
        <xdr:cNvGrpSpPr>
          <a:grpSpLocks/>
        </xdr:cNvGrpSpPr>
      </xdr:nvGrpSpPr>
      <xdr:grpSpPr bwMode="auto">
        <a:xfrm>
          <a:off x="7412355" y="20086320"/>
          <a:ext cx="2964180" cy="474345"/>
          <a:chOff x="79" y="968"/>
          <a:chExt cx="303" cy="36"/>
        </a:xfrm>
      </xdr:grpSpPr>
      <xdr:sp macro="" textlink="">
        <xdr:nvSpPr>
          <xdr:cNvPr id="8" name="Line 237">
            <a:extLst>
              <a:ext uri="{FF2B5EF4-FFF2-40B4-BE49-F238E27FC236}">
                <a16:creationId xmlns:a16="http://schemas.microsoft.com/office/drawing/2014/main" id="{A59CB9CB-BD16-381B-1B6A-6E8945111860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241">
            <a:extLst>
              <a:ext uri="{FF2B5EF4-FFF2-40B4-BE49-F238E27FC236}">
                <a16:creationId xmlns:a16="http://schemas.microsoft.com/office/drawing/2014/main" id="{72204C6C-3BA6-757D-74BB-322B7BCE0C3A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42">
            <a:extLst>
              <a:ext uri="{FF2B5EF4-FFF2-40B4-BE49-F238E27FC236}">
                <a16:creationId xmlns:a16="http://schemas.microsoft.com/office/drawing/2014/main" id="{1A96C19D-7867-5DF3-7F7B-D360E3E6C0FD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243">
            <a:extLst>
              <a:ext uri="{FF2B5EF4-FFF2-40B4-BE49-F238E27FC236}">
                <a16:creationId xmlns:a16="http://schemas.microsoft.com/office/drawing/2014/main" id="{F75B6BB9-D0B3-CE4C-64C1-B72C482FFA60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44">
            <a:extLst>
              <a:ext uri="{FF2B5EF4-FFF2-40B4-BE49-F238E27FC236}">
                <a16:creationId xmlns:a16="http://schemas.microsoft.com/office/drawing/2014/main" id="{E1D4111B-6004-0588-59EF-B67F7EC55207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47625</xdr:colOff>
      <xdr:row>36</xdr:row>
      <xdr:rowOff>38100</xdr:rowOff>
    </xdr:from>
    <xdr:to>
      <xdr:col>10</xdr:col>
      <xdr:colOff>266700</xdr:colOff>
      <xdr:row>36</xdr:row>
      <xdr:rowOff>165735</xdr:rowOff>
    </xdr:to>
    <xdr:grpSp>
      <xdr:nvGrpSpPr>
        <xdr:cNvPr id="21" name="Group 232">
          <a:extLst>
            <a:ext uri="{FF2B5EF4-FFF2-40B4-BE49-F238E27FC236}">
              <a16:creationId xmlns:a16="http://schemas.microsoft.com/office/drawing/2014/main" id="{C6E71A93-C3D7-4578-A36A-8655B4BC55AD}"/>
            </a:ext>
          </a:extLst>
        </xdr:cNvPr>
        <xdr:cNvGrpSpPr>
          <a:grpSpLocks/>
        </xdr:cNvGrpSpPr>
      </xdr:nvGrpSpPr>
      <xdr:grpSpPr bwMode="auto">
        <a:xfrm>
          <a:off x="8246745" y="6530340"/>
          <a:ext cx="219075" cy="127635"/>
          <a:chOff x="304" y="241"/>
          <a:chExt cx="29" cy="29"/>
        </a:xfrm>
      </xdr:grpSpPr>
      <xdr:sp macro="" textlink="">
        <xdr:nvSpPr>
          <xdr:cNvPr id="22" name="Oval 233">
            <a:extLst>
              <a:ext uri="{FF2B5EF4-FFF2-40B4-BE49-F238E27FC236}">
                <a16:creationId xmlns:a16="http://schemas.microsoft.com/office/drawing/2014/main" id="{2925D6FC-DC3F-E24C-75D2-77963F6B5936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" name="AutoShape 234">
            <a:extLst>
              <a:ext uri="{FF2B5EF4-FFF2-40B4-BE49-F238E27FC236}">
                <a16:creationId xmlns:a16="http://schemas.microsoft.com/office/drawing/2014/main" id="{AB762BCC-BC02-4916-0B0C-ECF669C28C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1135379</xdr:colOff>
      <xdr:row>35</xdr:row>
      <xdr:rowOff>144781</xdr:rowOff>
    </xdr:from>
    <xdr:to>
      <xdr:col>10</xdr:col>
      <xdr:colOff>15240</xdr:colOff>
      <xdr:row>37</xdr:row>
      <xdr:rowOff>7621</xdr:rowOff>
    </xdr:to>
    <xdr:sp macro="" textlink="">
      <xdr:nvSpPr>
        <xdr:cNvPr id="24" name="AutoShape 235">
          <a:extLst>
            <a:ext uri="{FF2B5EF4-FFF2-40B4-BE49-F238E27FC236}">
              <a16:creationId xmlns:a16="http://schemas.microsoft.com/office/drawing/2014/main" id="{D50F7795-9C8B-42E9-B2B3-1F724AF9D29C}"/>
            </a:ext>
          </a:extLst>
        </xdr:cNvPr>
        <xdr:cNvSpPr>
          <a:spLocks noChangeArrowheads="1"/>
        </xdr:cNvSpPr>
      </xdr:nvSpPr>
      <xdr:spPr bwMode="auto">
        <a:xfrm>
          <a:off x="6629399" y="6225541"/>
          <a:ext cx="1584961" cy="30480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63</xdr:row>
      <xdr:rowOff>38100</xdr:rowOff>
    </xdr:from>
    <xdr:to>
      <xdr:col>10</xdr:col>
      <xdr:colOff>266700</xdr:colOff>
      <xdr:row>63</xdr:row>
      <xdr:rowOff>165735</xdr:rowOff>
    </xdr:to>
    <xdr:grpSp>
      <xdr:nvGrpSpPr>
        <xdr:cNvPr id="25" name="Group 232">
          <a:extLst>
            <a:ext uri="{FF2B5EF4-FFF2-40B4-BE49-F238E27FC236}">
              <a16:creationId xmlns:a16="http://schemas.microsoft.com/office/drawing/2014/main" id="{FC80FE15-E557-41C3-998A-3AB6C1FFB22B}"/>
            </a:ext>
          </a:extLst>
        </xdr:cNvPr>
        <xdr:cNvGrpSpPr>
          <a:grpSpLocks/>
        </xdr:cNvGrpSpPr>
      </xdr:nvGrpSpPr>
      <xdr:grpSpPr bwMode="auto">
        <a:xfrm>
          <a:off x="8246745" y="11559540"/>
          <a:ext cx="219075" cy="127635"/>
          <a:chOff x="304" y="241"/>
          <a:chExt cx="29" cy="29"/>
        </a:xfrm>
      </xdr:grpSpPr>
      <xdr:sp macro="" textlink="">
        <xdr:nvSpPr>
          <xdr:cNvPr id="26" name="Oval 233">
            <a:extLst>
              <a:ext uri="{FF2B5EF4-FFF2-40B4-BE49-F238E27FC236}">
                <a16:creationId xmlns:a16="http://schemas.microsoft.com/office/drawing/2014/main" id="{3B0075E0-54A4-B6AC-75BF-21E03107B920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7" name="AutoShape 234">
            <a:extLst>
              <a:ext uri="{FF2B5EF4-FFF2-40B4-BE49-F238E27FC236}">
                <a16:creationId xmlns:a16="http://schemas.microsoft.com/office/drawing/2014/main" id="{955072AE-FCFA-418F-A3CF-E9313B3509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251460</xdr:colOff>
      <xdr:row>62</xdr:row>
      <xdr:rowOff>91440</xdr:rowOff>
    </xdr:from>
    <xdr:to>
      <xdr:col>10</xdr:col>
      <xdr:colOff>9525</xdr:colOff>
      <xdr:row>64</xdr:row>
      <xdr:rowOff>47625</xdr:rowOff>
    </xdr:to>
    <xdr:sp macro="" textlink="">
      <xdr:nvSpPr>
        <xdr:cNvPr id="28" name="AutoShape 235">
          <a:extLst>
            <a:ext uri="{FF2B5EF4-FFF2-40B4-BE49-F238E27FC236}">
              <a16:creationId xmlns:a16="http://schemas.microsoft.com/office/drawing/2014/main" id="{10FB5C0F-9E6C-44A7-A77A-F7E80371A8B5}"/>
            </a:ext>
          </a:extLst>
        </xdr:cNvPr>
        <xdr:cNvSpPr>
          <a:spLocks noChangeArrowheads="1"/>
        </xdr:cNvSpPr>
      </xdr:nvSpPr>
      <xdr:spPr bwMode="auto">
        <a:xfrm>
          <a:off x="4960620" y="11079480"/>
          <a:ext cx="3248025" cy="4057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47625</xdr:colOff>
      <xdr:row>74</xdr:row>
      <xdr:rowOff>38100</xdr:rowOff>
    </xdr:from>
    <xdr:to>
      <xdr:col>10</xdr:col>
      <xdr:colOff>266700</xdr:colOff>
      <xdr:row>74</xdr:row>
      <xdr:rowOff>165735</xdr:rowOff>
    </xdr:to>
    <xdr:grpSp>
      <xdr:nvGrpSpPr>
        <xdr:cNvPr id="29" name="Group 232">
          <a:extLst>
            <a:ext uri="{FF2B5EF4-FFF2-40B4-BE49-F238E27FC236}">
              <a16:creationId xmlns:a16="http://schemas.microsoft.com/office/drawing/2014/main" id="{45213982-A360-4BD3-B7EB-C9A28B9D076B}"/>
            </a:ext>
          </a:extLst>
        </xdr:cNvPr>
        <xdr:cNvGrpSpPr>
          <a:grpSpLocks/>
        </xdr:cNvGrpSpPr>
      </xdr:nvGrpSpPr>
      <xdr:grpSpPr bwMode="auto">
        <a:xfrm>
          <a:off x="8246745" y="13548360"/>
          <a:ext cx="219075" cy="127635"/>
          <a:chOff x="304" y="241"/>
          <a:chExt cx="29" cy="29"/>
        </a:xfrm>
      </xdr:grpSpPr>
      <xdr:sp macro="" textlink="">
        <xdr:nvSpPr>
          <xdr:cNvPr id="30" name="Oval 233">
            <a:extLst>
              <a:ext uri="{FF2B5EF4-FFF2-40B4-BE49-F238E27FC236}">
                <a16:creationId xmlns:a16="http://schemas.microsoft.com/office/drawing/2014/main" id="{C14AFBE2-8392-4E74-1CD9-3FDB5CC50AF1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AutoShape 234">
            <a:extLst>
              <a:ext uri="{FF2B5EF4-FFF2-40B4-BE49-F238E27FC236}">
                <a16:creationId xmlns:a16="http://schemas.microsoft.com/office/drawing/2014/main" id="{6C943BDD-1A20-D283-C056-988BC07E70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754380</xdr:colOff>
      <xdr:row>73</xdr:row>
      <xdr:rowOff>150495</xdr:rowOff>
    </xdr:from>
    <xdr:to>
      <xdr:col>9</xdr:col>
      <xdr:colOff>748665</xdr:colOff>
      <xdr:row>75</xdr:row>
      <xdr:rowOff>55245</xdr:rowOff>
    </xdr:to>
    <xdr:sp macro="" textlink="">
      <xdr:nvSpPr>
        <xdr:cNvPr id="32" name="AutoShape 235">
          <a:extLst>
            <a:ext uri="{FF2B5EF4-FFF2-40B4-BE49-F238E27FC236}">
              <a16:creationId xmlns:a16="http://schemas.microsoft.com/office/drawing/2014/main" id="{6A4421EE-5D7E-4F61-8CE5-E2C2B22129E2}"/>
            </a:ext>
          </a:extLst>
        </xdr:cNvPr>
        <xdr:cNvSpPr>
          <a:spLocks noChangeArrowheads="1"/>
        </xdr:cNvSpPr>
      </xdr:nvSpPr>
      <xdr:spPr bwMode="auto">
        <a:xfrm>
          <a:off x="4678680" y="13127355"/>
          <a:ext cx="3484245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85</xdr:row>
      <xdr:rowOff>38100</xdr:rowOff>
    </xdr:from>
    <xdr:to>
      <xdr:col>10</xdr:col>
      <xdr:colOff>266700</xdr:colOff>
      <xdr:row>85</xdr:row>
      <xdr:rowOff>165735</xdr:rowOff>
    </xdr:to>
    <xdr:grpSp>
      <xdr:nvGrpSpPr>
        <xdr:cNvPr id="33" name="Group 232">
          <a:extLst>
            <a:ext uri="{FF2B5EF4-FFF2-40B4-BE49-F238E27FC236}">
              <a16:creationId xmlns:a16="http://schemas.microsoft.com/office/drawing/2014/main" id="{D99AE5EC-4081-4EC4-BB44-E54E1987C277}"/>
            </a:ext>
          </a:extLst>
        </xdr:cNvPr>
        <xdr:cNvGrpSpPr>
          <a:grpSpLocks/>
        </xdr:cNvGrpSpPr>
      </xdr:nvGrpSpPr>
      <xdr:grpSpPr bwMode="auto">
        <a:xfrm>
          <a:off x="8246745" y="15590520"/>
          <a:ext cx="219075" cy="127635"/>
          <a:chOff x="304" y="241"/>
          <a:chExt cx="29" cy="29"/>
        </a:xfrm>
      </xdr:grpSpPr>
      <xdr:sp macro="" textlink="">
        <xdr:nvSpPr>
          <xdr:cNvPr id="34" name="Oval 233">
            <a:extLst>
              <a:ext uri="{FF2B5EF4-FFF2-40B4-BE49-F238E27FC236}">
                <a16:creationId xmlns:a16="http://schemas.microsoft.com/office/drawing/2014/main" id="{CFE2AC76-C966-8649-FE7C-7379D3F1BC2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" name="AutoShape 234">
            <a:extLst>
              <a:ext uri="{FF2B5EF4-FFF2-40B4-BE49-F238E27FC236}">
                <a16:creationId xmlns:a16="http://schemas.microsoft.com/office/drawing/2014/main" id="{042F584C-BE01-E9B8-9AF0-D08E10121A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47625</xdr:colOff>
      <xdr:row>98</xdr:row>
      <xdr:rowOff>38100</xdr:rowOff>
    </xdr:from>
    <xdr:to>
      <xdr:col>10</xdr:col>
      <xdr:colOff>266700</xdr:colOff>
      <xdr:row>98</xdr:row>
      <xdr:rowOff>165735</xdr:rowOff>
    </xdr:to>
    <xdr:grpSp>
      <xdr:nvGrpSpPr>
        <xdr:cNvPr id="37" name="Group 232">
          <a:extLst>
            <a:ext uri="{FF2B5EF4-FFF2-40B4-BE49-F238E27FC236}">
              <a16:creationId xmlns:a16="http://schemas.microsoft.com/office/drawing/2014/main" id="{01057065-B832-440C-8502-224D4BF9C974}"/>
            </a:ext>
          </a:extLst>
        </xdr:cNvPr>
        <xdr:cNvGrpSpPr>
          <a:grpSpLocks/>
        </xdr:cNvGrpSpPr>
      </xdr:nvGrpSpPr>
      <xdr:grpSpPr bwMode="auto">
        <a:xfrm>
          <a:off x="8246745" y="17914620"/>
          <a:ext cx="219075" cy="127635"/>
          <a:chOff x="304" y="241"/>
          <a:chExt cx="29" cy="29"/>
        </a:xfrm>
      </xdr:grpSpPr>
      <xdr:sp macro="" textlink="">
        <xdr:nvSpPr>
          <xdr:cNvPr id="38" name="Oval 233">
            <a:extLst>
              <a:ext uri="{FF2B5EF4-FFF2-40B4-BE49-F238E27FC236}">
                <a16:creationId xmlns:a16="http://schemas.microsoft.com/office/drawing/2014/main" id="{88663569-8FA2-1B28-20B7-2F61B108483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" name="AutoShape 234">
            <a:extLst>
              <a:ext uri="{FF2B5EF4-FFF2-40B4-BE49-F238E27FC236}">
                <a16:creationId xmlns:a16="http://schemas.microsoft.com/office/drawing/2014/main" id="{638524D1-50DC-D1EF-39DC-2055193D7B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114299</xdr:colOff>
      <xdr:row>97</xdr:row>
      <xdr:rowOff>198119</xdr:rowOff>
    </xdr:from>
    <xdr:to>
      <xdr:col>10</xdr:col>
      <xdr:colOff>9524</xdr:colOff>
      <xdr:row>99</xdr:row>
      <xdr:rowOff>47624</xdr:rowOff>
    </xdr:to>
    <xdr:sp macro="" textlink="">
      <xdr:nvSpPr>
        <xdr:cNvPr id="40" name="AutoShape 235">
          <a:extLst>
            <a:ext uri="{FF2B5EF4-FFF2-40B4-BE49-F238E27FC236}">
              <a16:creationId xmlns:a16="http://schemas.microsoft.com/office/drawing/2014/main" id="{6C032A2C-A9EB-424F-99E8-C374C9CEFBEE}"/>
            </a:ext>
          </a:extLst>
        </xdr:cNvPr>
        <xdr:cNvSpPr>
          <a:spLocks noChangeArrowheads="1"/>
        </xdr:cNvSpPr>
      </xdr:nvSpPr>
      <xdr:spPr bwMode="auto">
        <a:xfrm>
          <a:off x="899159" y="17541239"/>
          <a:ext cx="7309485" cy="291465"/>
        </a:xfrm>
        <a:prstGeom prst="rightArrow">
          <a:avLst>
            <a:gd name="adj1" fmla="val 53187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0</xdr:colOff>
      <xdr:row>63</xdr:row>
      <xdr:rowOff>0</xdr:rowOff>
    </xdr:from>
    <xdr:to>
      <xdr:col>27</xdr:col>
      <xdr:colOff>28575</xdr:colOff>
      <xdr:row>65</xdr:row>
      <xdr:rowOff>87630</xdr:rowOff>
    </xdr:to>
    <xdr:grpSp>
      <xdr:nvGrpSpPr>
        <xdr:cNvPr id="46" name="Group 256">
          <a:extLst>
            <a:ext uri="{FF2B5EF4-FFF2-40B4-BE49-F238E27FC236}">
              <a16:creationId xmlns:a16="http://schemas.microsoft.com/office/drawing/2014/main" id="{83C26F9E-C7F4-43C0-AA78-16A6192A2FE4}"/>
            </a:ext>
          </a:extLst>
        </xdr:cNvPr>
        <xdr:cNvGrpSpPr>
          <a:grpSpLocks/>
        </xdr:cNvGrpSpPr>
      </xdr:nvGrpSpPr>
      <xdr:grpSpPr bwMode="auto">
        <a:xfrm>
          <a:off x="20894040" y="11521440"/>
          <a:ext cx="813435" cy="483870"/>
          <a:chOff x="267" y="335"/>
          <a:chExt cx="150" cy="88"/>
        </a:xfrm>
      </xdr:grpSpPr>
      <xdr:sp macro="" textlink="">
        <xdr:nvSpPr>
          <xdr:cNvPr id="47" name="Rectangle 257">
            <a:extLst>
              <a:ext uri="{FF2B5EF4-FFF2-40B4-BE49-F238E27FC236}">
                <a16:creationId xmlns:a16="http://schemas.microsoft.com/office/drawing/2014/main" id="{B8DCD2D4-789E-5350-B33A-A6809CB42EFF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48" name="AutoShape 258">
            <a:extLst>
              <a:ext uri="{FF2B5EF4-FFF2-40B4-BE49-F238E27FC236}">
                <a16:creationId xmlns:a16="http://schemas.microsoft.com/office/drawing/2014/main" id="{C81FD3B2-325C-1513-269C-B99DDD5348E3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9" name="AutoShape 259">
            <a:extLst>
              <a:ext uri="{FF2B5EF4-FFF2-40B4-BE49-F238E27FC236}">
                <a16:creationId xmlns:a16="http://schemas.microsoft.com/office/drawing/2014/main" id="{7D38A91B-4C1C-4E26-C5C1-1A13B615618E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0" name="AutoShape 260">
            <a:extLst>
              <a:ext uri="{FF2B5EF4-FFF2-40B4-BE49-F238E27FC236}">
                <a16:creationId xmlns:a16="http://schemas.microsoft.com/office/drawing/2014/main" id="{727BAB14-A127-5753-6E9A-06B21C1043E8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1" name="AutoShape 261">
            <a:extLst>
              <a:ext uri="{FF2B5EF4-FFF2-40B4-BE49-F238E27FC236}">
                <a16:creationId xmlns:a16="http://schemas.microsoft.com/office/drawing/2014/main" id="{A7C8CE4B-CABB-E81A-B9AF-8129CBBE568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2" name="AutoShape 262">
            <a:extLst>
              <a:ext uri="{FF2B5EF4-FFF2-40B4-BE49-F238E27FC236}">
                <a16:creationId xmlns:a16="http://schemas.microsoft.com/office/drawing/2014/main" id="{BFF64196-1946-0F96-3BD0-7E71A54B78BF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3" name="AutoShape 263">
            <a:extLst>
              <a:ext uri="{FF2B5EF4-FFF2-40B4-BE49-F238E27FC236}">
                <a16:creationId xmlns:a16="http://schemas.microsoft.com/office/drawing/2014/main" id="{633E4FF0-1989-967E-A919-B7AAC82D08EF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0</xdr:colOff>
      <xdr:row>77</xdr:row>
      <xdr:rowOff>0</xdr:rowOff>
    </xdr:from>
    <xdr:to>
      <xdr:col>27</xdr:col>
      <xdr:colOff>28575</xdr:colOff>
      <xdr:row>79</xdr:row>
      <xdr:rowOff>148590</xdr:rowOff>
    </xdr:to>
    <xdr:grpSp>
      <xdr:nvGrpSpPr>
        <xdr:cNvPr id="54" name="Group 256">
          <a:extLst>
            <a:ext uri="{FF2B5EF4-FFF2-40B4-BE49-F238E27FC236}">
              <a16:creationId xmlns:a16="http://schemas.microsoft.com/office/drawing/2014/main" id="{63FCDF37-580C-4897-98A9-165BDB19D7AB}"/>
            </a:ext>
          </a:extLst>
        </xdr:cNvPr>
        <xdr:cNvGrpSpPr>
          <a:grpSpLocks/>
        </xdr:cNvGrpSpPr>
      </xdr:nvGrpSpPr>
      <xdr:grpSpPr bwMode="auto">
        <a:xfrm>
          <a:off x="20894040" y="14135100"/>
          <a:ext cx="813435" cy="483870"/>
          <a:chOff x="267" y="335"/>
          <a:chExt cx="150" cy="88"/>
        </a:xfrm>
      </xdr:grpSpPr>
      <xdr:sp macro="" textlink="">
        <xdr:nvSpPr>
          <xdr:cNvPr id="55" name="Rectangle 257">
            <a:extLst>
              <a:ext uri="{FF2B5EF4-FFF2-40B4-BE49-F238E27FC236}">
                <a16:creationId xmlns:a16="http://schemas.microsoft.com/office/drawing/2014/main" id="{E8C72FA5-DAA5-0688-3B72-3CF0A12760C4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56" name="AutoShape 258">
            <a:extLst>
              <a:ext uri="{FF2B5EF4-FFF2-40B4-BE49-F238E27FC236}">
                <a16:creationId xmlns:a16="http://schemas.microsoft.com/office/drawing/2014/main" id="{58160F8B-468C-50DE-18D2-6F4AE3B946B2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7" name="AutoShape 259">
            <a:extLst>
              <a:ext uri="{FF2B5EF4-FFF2-40B4-BE49-F238E27FC236}">
                <a16:creationId xmlns:a16="http://schemas.microsoft.com/office/drawing/2014/main" id="{F4FE9E89-EAD6-0557-8F59-718A94BE229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8" name="AutoShape 260">
            <a:extLst>
              <a:ext uri="{FF2B5EF4-FFF2-40B4-BE49-F238E27FC236}">
                <a16:creationId xmlns:a16="http://schemas.microsoft.com/office/drawing/2014/main" id="{F71BDDD8-6D1C-F927-0813-AD871C0C9892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9" name="AutoShape 261">
            <a:extLst>
              <a:ext uri="{FF2B5EF4-FFF2-40B4-BE49-F238E27FC236}">
                <a16:creationId xmlns:a16="http://schemas.microsoft.com/office/drawing/2014/main" id="{F0AF777D-08E8-4C88-26F0-39409617DD9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0" name="AutoShape 262">
            <a:extLst>
              <a:ext uri="{FF2B5EF4-FFF2-40B4-BE49-F238E27FC236}">
                <a16:creationId xmlns:a16="http://schemas.microsoft.com/office/drawing/2014/main" id="{151FF5C6-328C-2D89-3514-E97A13BCDC8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1" name="AutoShape 263">
            <a:extLst>
              <a:ext uri="{FF2B5EF4-FFF2-40B4-BE49-F238E27FC236}">
                <a16:creationId xmlns:a16="http://schemas.microsoft.com/office/drawing/2014/main" id="{2F09FC07-AAB0-D244-945E-F374D530B020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26</xdr:col>
      <xdr:colOff>0</xdr:colOff>
      <xdr:row>90</xdr:row>
      <xdr:rowOff>0</xdr:rowOff>
    </xdr:from>
    <xdr:to>
      <xdr:col>27</xdr:col>
      <xdr:colOff>28575</xdr:colOff>
      <xdr:row>92</xdr:row>
      <xdr:rowOff>148590</xdr:rowOff>
    </xdr:to>
    <xdr:grpSp>
      <xdr:nvGrpSpPr>
        <xdr:cNvPr id="62" name="Group 256">
          <a:extLst>
            <a:ext uri="{FF2B5EF4-FFF2-40B4-BE49-F238E27FC236}">
              <a16:creationId xmlns:a16="http://schemas.microsoft.com/office/drawing/2014/main" id="{3E3FCA6F-B2F0-473A-96EB-659154B4E762}"/>
            </a:ext>
          </a:extLst>
        </xdr:cNvPr>
        <xdr:cNvGrpSpPr>
          <a:grpSpLocks/>
        </xdr:cNvGrpSpPr>
      </xdr:nvGrpSpPr>
      <xdr:grpSpPr bwMode="auto">
        <a:xfrm>
          <a:off x="20894040" y="16466820"/>
          <a:ext cx="813435" cy="483870"/>
          <a:chOff x="267" y="335"/>
          <a:chExt cx="150" cy="88"/>
        </a:xfrm>
      </xdr:grpSpPr>
      <xdr:sp macro="" textlink="">
        <xdr:nvSpPr>
          <xdr:cNvPr id="63" name="Rectangle 257">
            <a:extLst>
              <a:ext uri="{FF2B5EF4-FFF2-40B4-BE49-F238E27FC236}">
                <a16:creationId xmlns:a16="http://schemas.microsoft.com/office/drawing/2014/main" id="{A3972420-CC64-2EDE-BBB2-75A624F6D824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64" name="AutoShape 258">
            <a:extLst>
              <a:ext uri="{FF2B5EF4-FFF2-40B4-BE49-F238E27FC236}">
                <a16:creationId xmlns:a16="http://schemas.microsoft.com/office/drawing/2014/main" id="{DD2AEC8E-D9B6-0006-899F-6D8C546AFB2C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5" name="AutoShape 259">
            <a:extLst>
              <a:ext uri="{FF2B5EF4-FFF2-40B4-BE49-F238E27FC236}">
                <a16:creationId xmlns:a16="http://schemas.microsoft.com/office/drawing/2014/main" id="{B20CE0E9-062B-27C1-6F0C-C20F8D77CBC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6" name="AutoShape 260">
            <a:extLst>
              <a:ext uri="{FF2B5EF4-FFF2-40B4-BE49-F238E27FC236}">
                <a16:creationId xmlns:a16="http://schemas.microsoft.com/office/drawing/2014/main" id="{A597B285-CB90-0397-EF03-CB2EF502ADD0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7" name="AutoShape 261">
            <a:extLst>
              <a:ext uri="{FF2B5EF4-FFF2-40B4-BE49-F238E27FC236}">
                <a16:creationId xmlns:a16="http://schemas.microsoft.com/office/drawing/2014/main" id="{828C8B86-2CC8-52CC-8054-2D6BB337A42F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8" name="AutoShape 262">
            <a:extLst>
              <a:ext uri="{FF2B5EF4-FFF2-40B4-BE49-F238E27FC236}">
                <a16:creationId xmlns:a16="http://schemas.microsoft.com/office/drawing/2014/main" id="{BAF5D570-D2E9-6D7C-3CDD-8800836B283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9" name="AutoShape 263">
            <a:extLst>
              <a:ext uri="{FF2B5EF4-FFF2-40B4-BE49-F238E27FC236}">
                <a16:creationId xmlns:a16="http://schemas.microsoft.com/office/drawing/2014/main" id="{851E342F-2949-5FE3-EF75-6B9E14C3EB56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3</xdr:row>
      <xdr:rowOff>83820</xdr:rowOff>
    </xdr:to>
    <xdr:grpSp>
      <xdr:nvGrpSpPr>
        <xdr:cNvPr id="70" name="Group 3">
          <a:extLst>
            <a:ext uri="{FF2B5EF4-FFF2-40B4-BE49-F238E27FC236}">
              <a16:creationId xmlns:a16="http://schemas.microsoft.com/office/drawing/2014/main" id="{2822584D-7506-4D55-8334-D8B179330DA0}"/>
            </a:ext>
          </a:extLst>
        </xdr:cNvPr>
        <xdr:cNvGrpSpPr>
          <a:grpSpLocks/>
        </xdr:cNvGrpSpPr>
      </xdr:nvGrpSpPr>
      <xdr:grpSpPr bwMode="auto">
        <a:xfrm>
          <a:off x="10378440" y="449580"/>
          <a:ext cx="152400" cy="259080"/>
          <a:chOff x="572" y="516"/>
          <a:chExt cx="44" cy="130"/>
        </a:xfrm>
      </xdr:grpSpPr>
      <xdr:cxnSp macro="">
        <xdr:nvCxnSpPr>
          <xdr:cNvPr id="71" name="AutoShape 4">
            <a:extLst>
              <a:ext uri="{FF2B5EF4-FFF2-40B4-BE49-F238E27FC236}">
                <a16:creationId xmlns:a16="http://schemas.microsoft.com/office/drawing/2014/main" id="{C49D1BD1-FE58-8179-277B-BAEB117DA04F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614" y="517"/>
            <a:ext cx="1" cy="129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2" name="AutoShape 5">
            <a:extLst>
              <a:ext uri="{FF2B5EF4-FFF2-40B4-BE49-F238E27FC236}">
                <a16:creationId xmlns:a16="http://schemas.microsoft.com/office/drawing/2014/main" id="{0EAEDD84-CC0F-C96C-A4A4-B8975A0964E2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3" name="AutoShape 6">
            <a:extLst>
              <a:ext uri="{FF2B5EF4-FFF2-40B4-BE49-F238E27FC236}">
                <a16:creationId xmlns:a16="http://schemas.microsoft.com/office/drawing/2014/main" id="{99260A9F-05B4-FF02-7853-25BE449375C9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4" name="AutoShape 7">
            <a:extLst>
              <a:ext uri="{FF2B5EF4-FFF2-40B4-BE49-F238E27FC236}">
                <a16:creationId xmlns:a16="http://schemas.microsoft.com/office/drawing/2014/main" id="{30FA1A8B-20D0-7482-7A3A-4A293353AA05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58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5" name="AutoShape 8">
            <a:extLst>
              <a:ext uri="{FF2B5EF4-FFF2-40B4-BE49-F238E27FC236}">
                <a16:creationId xmlns:a16="http://schemas.microsoft.com/office/drawing/2014/main" id="{FF51FF9C-631A-7B78-D10C-B2A264AD018D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602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6" name="AutoShape 9">
            <a:extLst>
              <a:ext uri="{FF2B5EF4-FFF2-40B4-BE49-F238E27FC236}">
                <a16:creationId xmlns:a16="http://schemas.microsoft.com/office/drawing/2014/main" id="{FBD8D999-7C01-3B1E-B9DC-D20D8BCBB0D7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3" y="644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8</xdr:col>
      <xdr:colOff>685800</xdr:colOff>
      <xdr:row>4</xdr:row>
      <xdr:rowOff>0</xdr:rowOff>
    </xdr:from>
    <xdr:to>
      <xdr:col>10</xdr:col>
      <xdr:colOff>0</xdr:colOff>
      <xdr:row>5</xdr:row>
      <xdr:rowOff>99060</xdr:rowOff>
    </xdr:to>
    <xdr:grpSp>
      <xdr:nvGrpSpPr>
        <xdr:cNvPr id="77" name="Group 46">
          <a:extLst>
            <a:ext uri="{FF2B5EF4-FFF2-40B4-BE49-F238E27FC236}">
              <a16:creationId xmlns:a16="http://schemas.microsoft.com/office/drawing/2014/main" id="{64B35492-364C-48AA-AD5C-D4E9A86C31FC}"/>
            </a:ext>
          </a:extLst>
        </xdr:cNvPr>
        <xdr:cNvGrpSpPr>
          <a:grpSpLocks/>
        </xdr:cNvGrpSpPr>
      </xdr:nvGrpSpPr>
      <xdr:grpSpPr bwMode="auto">
        <a:xfrm flipH="1">
          <a:off x="7315200" y="792480"/>
          <a:ext cx="883920" cy="266700"/>
          <a:chOff x="216" y="418"/>
          <a:chExt cx="71" cy="51"/>
        </a:xfrm>
      </xdr:grpSpPr>
      <xdr:sp macro="" textlink="">
        <xdr:nvSpPr>
          <xdr:cNvPr id="78" name="Rectangle 47">
            <a:extLst>
              <a:ext uri="{FF2B5EF4-FFF2-40B4-BE49-F238E27FC236}">
                <a16:creationId xmlns:a16="http://schemas.microsoft.com/office/drawing/2014/main" id="{B01A8500-8F14-7BC5-279B-B2A3A2034406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9" name="Rectangle 48">
            <a:extLst>
              <a:ext uri="{FF2B5EF4-FFF2-40B4-BE49-F238E27FC236}">
                <a16:creationId xmlns:a16="http://schemas.microsoft.com/office/drawing/2014/main" id="{C5B19266-7599-A23B-7704-A12E742003FC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0" name="AutoShape 49">
            <a:extLst>
              <a:ext uri="{FF2B5EF4-FFF2-40B4-BE49-F238E27FC236}">
                <a16:creationId xmlns:a16="http://schemas.microsoft.com/office/drawing/2014/main" id="{B21840DA-3F63-B916-69C5-E88BFDE0FCEB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1" name="AutoShape 50">
            <a:extLst>
              <a:ext uri="{FF2B5EF4-FFF2-40B4-BE49-F238E27FC236}">
                <a16:creationId xmlns:a16="http://schemas.microsoft.com/office/drawing/2014/main" id="{D255A395-E331-7D70-7CEF-EC0B3FFA89B3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2" name="AutoShape 51">
            <a:extLst>
              <a:ext uri="{FF2B5EF4-FFF2-40B4-BE49-F238E27FC236}">
                <a16:creationId xmlns:a16="http://schemas.microsoft.com/office/drawing/2014/main" id="{B55B7E81-3A91-C59C-9962-96EE2F3FB45F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3" name="AutoShape 52">
            <a:extLst>
              <a:ext uri="{FF2B5EF4-FFF2-40B4-BE49-F238E27FC236}">
                <a16:creationId xmlns:a16="http://schemas.microsoft.com/office/drawing/2014/main" id="{9F9DEC08-5223-E5FA-84AB-B26EA94D5C6D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4" name="AutoShape 53">
            <a:extLst>
              <a:ext uri="{FF2B5EF4-FFF2-40B4-BE49-F238E27FC236}">
                <a16:creationId xmlns:a16="http://schemas.microsoft.com/office/drawing/2014/main" id="{EA1C80B7-FD4E-5D60-33AF-F658FCC7A068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333375</xdr:colOff>
      <xdr:row>5</xdr:row>
      <xdr:rowOff>34290</xdr:rowOff>
    </xdr:to>
    <xdr:grpSp>
      <xdr:nvGrpSpPr>
        <xdr:cNvPr id="85" name="Group 39">
          <a:extLst>
            <a:ext uri="{FF2B5EF4-FFF2-40B4-BE49-F238E27FC236}">
              <a16:creationId xmlns:a16="http://schemas.microsoft.com/office/drawing/2014/main" id="{25052ED7-FFEC-42EC-9F13-D02BF5CB42C1}"/>
            </a:ext>
          </a:extLst>
        </xdr:cNvPr>
        <xdr:cNvGrpSpPr>
          <a:grpSpLocks/>
        </xdr:cNvGrpSpPr>
      </xdr:nvGrpSpPr>
      <xdr:grpSpPr bwMode="auto">
        <a:xfrm>
          <a:off x="10378440" y="792480"/>
          <a:ext cx="333375" cy="201930"/>
          <a:chOff x="320" y="533"/>
          <a:chExt cx="52" cy="52"/>
        </a:xfrm>
      </xdr:grpSpPr>
      <xdr:sp macro="" textlink="">
        <xdr:nvSpPr>
          <xdr:cNvPr id="86" name="Rectangle 40">
            <a:extLst>
              <a:ext uri="{FF2B5EF4-FFF2-40B4-BE49-F238E27FC236}">
                <a16:creationId xmlns:a16="http://schemas.microsoft.com/office/drawing/2014/main" id="{DBB958FD-700B-185A-E7B7-B88EC0ADB9A7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7" name="Rectangle 41">
            <a:extLst>
              <a:ext uri="{FF2B5EF4-FFF2-40B4-BE49-F238E27FC236}">
                <a16:creationId xmlns:a16="http://schemas.microsoft.com/office/drawing/2014/main" id="{C7DDD123-86DC-2512-D7CC-CF146457E738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8" name="AutoShape 42">
            <a:extLst>
              <a:ext uri="{FF2B5EF4-FFF2-40B4-BE49-F238E27FC236}">
                <a16:creationId xmlns:a16="http://schemas.microsoft.com/office/drawing/2014/main" id="{6FAC7C0C-86F8-762B-ABF7-CC85323EC92E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9" name="AutoShape 43">
            <a:extLst>
              <a:ext uri="{FF2B5EF4-FFF2-40B4-BE49-F238E27FC236}">
                <a16:creationId xmlns:a16="http://schemas.microsoft.com/office/drawing/2014/main" id="{232CADC0-61D4-3CD3-E626-249A8778D6A2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0" name="AutoShape 44">
            <a:extLst>
              <a:ext uri="{FF2B5EF4-FFF2-40B4-BE49-F238E27FC236}">
                <a16:creationId xmlns:a16="http://schemas.microsoft.com/office/drawing/2014/main" id="{4E94C489-D7EE-6D96-D119-4BB9FB3AF937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1" name="AutoShape 45">
            <a:extLst>
              <a:ext uri="{FF2B5EF4-FFF2-40B4-BE49-F238E27FC236}">
                <a16:creationId xmlns:a16="http://schemas.microsoft.com/office/drawing/2014/main" id="{5F5A3BA7-9930-F87B-4BB4-DFAB6524ACA5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99060</xdr:colOff>
      <xdr:row>20</xdr:row>
      <xdr:rowOff>99060</xdr:rowOff>
    </xdr:to>
    <xdr:grpSp>
      <xdr:nvGrpSpPr>
        <xdr:cNvPr id="92" name="Group 46">
          <a:extLst>
            <a:ext uri="{FF2B5EF4-FFF2-40B4-BE49-F238E27FC236}">
              <a16:creationId xmlns:a16="http://schemas.microsoft.com/office/drawing/2014/main" id="{A0BDE587-514C-4638-BFF0-1149DC777E41}"/>
            </a:ext>
          </a:extLst>
        </xdr:cNvPr>
        <xdr:cNvGrpSpPr>
          <a:grpSpLocks/>
        </xdr:cNvGrpSpPr>
      </xdr:nvGrpSpPr>
      <xdr:grpSpPr bwMode="auto">
        <a:xfrm flipH="1">
          <a:off x="2354580" y="3390900"/>
          <a:ext cx="1668780" cy="266700"/>
          <a:chOff x="216" y="418"/>
          <a:chExt cx="71" cy="51"/>
        </a:xfrm>
      </xdr:grpSpPr>
      <xdr:sp macro="" textlink="">
        <xdr:nvSpPr>
          <xdr:cNvPr id="93" name="Rectangle 47">
            <a:extLst>
              <a:ext uri="{FF2B5EF4-FFF2-40B4-BE49-F238E27FC236}">
                <a16:creationId xmlns:a16="http://schemas.microsoft.com/office/drawing/2014/main" id="{40C2FD4B-2A83-CFB7-CCD1-F3FB28DD2D5C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4" name="Rectangle 48">
            <a:extLst>
              <a:ext uri="{FF2B5EF4-FFF2-40B4-BE49-F238E27FC236}">
                <a16:creationId xmlns:a16="http://schemas.microsoft.com/office/drawing/2014/main" id="{E22D6122-CDF0-CCA5-0BE4-5BD5E757A363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5" name="AutoShape 49">
            <a:extLst>
              <a:ext uri="{FF2B5EF4-FFF2-40B4-BE49-F238E27FC236}">
                <a16:creationId xmlns:a16="http://schemas.microsoft.com/office/drawing/2014/main" id="{DF44E769-11CC-F784-E241-5E4FBEC716E2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6" name="AutoShape 50">
            <a:extLst>
              <a:ext uri="{FF2B5EF4-FFF2-40B4-BE49-F238E27FC236}">
                <a16:creationId xmlns:a16="http://schemas.microsoft.com/office/drawing/2014/main" id="{7639BCAE-E237-5A2F-43BD-9557BBE99F6D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7" name="AutoShape 51">
            <a:extLst>
              <a:ext uri="{FF2B5EF4-FFF2-40B4-BE49-F238E27FC236}">
                <a16:creationId xmlns:a16="http://schemas.microsoft.com/office/drawing/2014/main" id="{CC7C2B9A-4D81-68C4-C7DC-969BE73E3557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8" name="AutoShape 52">
            <a:extLst>
              <a:ext uri="{FF2B5EF4-FFF2-40B4-BE49-F238E27FC236}">
                <a16:creationId xmlns:a16="http://schemas.microsoft.com/office/drawing/2014/main" id="{60EBEF24-2625-F8C8-A490-4048F3C7D94E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9" name="AutoShape 53">
            <a:extLst>
              <a:ext uri="{FF2B5EF4-FFF2-40B4-BE49-F238E27FC236}">
                <a16:creationId xmlns:a16="http://schemas.microsoft.com/office/drawing/2014/main" id="{C7A00D67-6BC1-BFF4-061F-0FD8A8704AFB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0</xdr:colOff>
      <xdr:row>55</xdr:row>
      <xdr:rowOff>114300</xdr:rowOff>
    </xdr:from>
    <xdr:to>
      <xdr:col>15</xdr:col>
      <xdr:colOff>614082</xdr:colOff>
      <xdr:row>71</xdr:row>
      <xdr:rowOff>38100</xdr:rowOff>
    </xdr:to>
    <xdr:pic>
      <xdr:nvPicPr>
        <xdr:cNvPr id="101" name="Picture 94">
          <a:extLst>
            <a:ext uri="{FF2B5EF4-FFF2-40B4-BE49-F238E27FC236}">
              <a16:creationId xmlns:a16="http://schemas.microsoft.com/office/drawing/2014/main" id="{EC63B920-C487-47B3-B8F5-500AB18FE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9921240"/>
          <a:ext cx="614082" cy="2994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425824</xdr:colOff>
      <xdr:row>91</xdr:row>
      <xdr:rowOff>45720</xdr:rowOff>
    </xdr:to>
    <xdr:pic>
      <xdr:nvPicPr>
        <xdr:cNvPr id="102" name="Picture 94">
          <a:extLst>
            <a:ext uri="{FF2B5EF4-FFF2-40B4-BE49-F238E27FC236}">
              <a16:creationId xmlns:a16="http://schemas.microsoft.com/office/drawing/2014/main" id="{8FFD0E20-FD34-43B4-8DF4-F4113BBD5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5643860"/>
          <a:ext cx="425824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0</xdr:colOff>
      <xdr:row>77</xdr:row>
      <xdr:rowOff>0</xdr:rowOff>
    </xdr:from>
    <xdr:to>
      <xdr:col>18</xdr:col>
      <xdr:colOff>434340</xdr:colOff>
      <xdr:row>81</xdr:row>
      <xdr:rowOff>67818</xdr:rowOff>
    </xdr:to>
    <xdr:pic>
      <xdr:nvPicPr>
        <xdr:cNvPr id="103" name="Picture 94">
          <a:extLst>
            <a:ext uri="{FF2B5EF4-FFF2-40B4-BE49-F238E27FC236}">
              <a16:creationId xmlns:a16="http://schemas.microsoft.com/office/drawing/2014/main" id="{26FD80A0-8E7C-492B-B237-7E759D350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02740" y="13830300"/>
          <a:ext cx="434340" cy="738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114300</xdr:colOff>
      <xdr:row>4</xdr:row>
      <xdr:rowOff>60960</xdr:rowOff>
    </xdr:from>
    <xdr:to>
      <xdr:col>14</xdr:col>
      <xdr:colOff>476250</xdr:colOff>
      <xdr:row>5</xdr:row>
      <xdr:rowOff>102870</xdr:rowOff>
    </xdr:to>
    <xdr:grpSp>
      <xdr:nvGrpSpPr>
        <xdr:cNvPr id="104" name="Group 60">
          <a:extLst>
            <a:ext uri="{FF2B5EF4-FFF2-40B4-BE49-F238E27FC236}">
              <a16:creationId xmlns:a16="http://schemas.microsoft.com/office/drawing/2014/main" id="{12CF58B7-6A5E-42DA-A1D9-5DC16CC73D28}"/>
            </a:ext>
          </a:extLst>
        </xdr:cNvPr>
        <xdr:cNvGrpSpPr>
          <a:grpSpLocks/>
        </xdr:cNvGrpSpPr>
      </xdr:nvGrpSpPr>
      <xdr:grpSpPr bwMode="auto">
        <a:xfrm>
          <a:off x="11277600" y="853440"/>
          <a:ext cx="361950" cy="209550"/>
          <a:chOff x="1860" y="222"/>
          <a:chExt cx="159" cy="139"/>
        </a:xfrm>
      </xdr:grpSpPr>
      <xdr:sp macro="" textlink="">
        <xdr:nvSpPr>
          <xdr:cNvPr id="105" name="AutoShape 61">
            <a:extLst>
              <a:ext uri="{FF2B5EF4-FFF2-40B4-BE49-F238E27FC236}">
                <a16:creationId xmlns:a16="http://schemas.microsoft.com/office/drawing/2014/main" id="{32CF0915-994E-4DB3-87CE-DF1C3F205AE2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6" name="Line 62">
            <a:extLst>
              <a:ext uri="{FF2B5EF4-FFF2-40B4-BE49-F238E27FC236}">
                <a16:creationId xmlns:a16="http://schemas.microsoft.com/office/drawing/2014/main" id="{5C653354-71DA-8434-74DB-B807B85F7BBA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7" name="Line 63">
            <a:extLst>
              <a:ext uri="{FF2B5EF4-FFF2-40B4-BE49-F238E27FC236}">
                <a16:creationId xmlns:a16="http://schemas.microsoft.com/office/drawing/2014/main" id="{74888879-3AA7-DA75-FC17-5AD0B94CB7AA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8" name="Line 64">
            <a:extLst>
              <a:ext uri="{FF2B5EF4-FFF2-40B4-BE49-F238E27FC236}">
                <a16:creationId xmlns:a16="http://schemas.microsoft.com/office/drawing/2014/main" id="{D4E6C91E-7635-1881-848E-F5B3BA8C50F4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</xdr:col>
      <xdr:colOff>0</xdr:colOff>
      <xdr:row>98</xdr:row>
      <xdr:rowOff>0</xdr:rowOff>
    </xdr:from>
    <xdr:to>
      <xdr:col>13</xdr:col>
      <xdr:colOff>0</xdr:colOff>
      <xdr:row>99</xdr:row>
      <xdr:rowOff>125730</xdr:rowOff>
    </xdr:to>
    <xdr:sp macro="" textlink="">
      <xdr:nvSpPr>
        <xdr:cNvPr id="115" name="AutoShape 235">
          <a:extLst>
            <a:ext uri="{FF2B5EF4-FFF2-40B4-BE49-F238E27FC236}">
              <a16:creationId xmlns:a16="http://schemas.microsoft.com/office/drawing/2014/main" id="{3840A1D8-2139-4E4A-BA5D-E09AEE64773C}"/>
            </a:ext>
          </a:extLst>
        </xdr:cNvPr>
        <xdr:cNvSpPr>
          <a:spLocks noChangeArrowheads="1"/>
        </xdr:cNvSpPr>
      </xdr:nvSpPr>
      <xdr:spPr bwMode="auto">
        <a:xfrm>
          <a:off x="9593580" y="175641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455295</xdr:colOff>
      <xdr:row>80</xdr:row>
      <xdr:rowOff>106680</xdr:rowOff>
    </xdr:from>
    <xdr:to>
      <xdr:col>13</xdr:col>
      <xdr:colOff>17145</xdr:colOff>
      <xdr:row>99</xdr:row>
      <xdr:rowOff>17145</xdr:rowOff>
    </xdr:to>
    <xdr:sp macro="" textlink="">
      <xdr:nvSpPr>
        <xdr:cNvPr id="116" name="AutoShape 235">
          <a:extLst>
            <a:ext uri="{FF2B5EF4-FFF2-40B4-BE49-F238E27FC236}">
              <a16:creationId xmlns:a16="http://schemas.microsoft.com/office/drawing/2014/main" id="{FA37119E-573C-465A-AF97-4513F76ABCA4}"/>
            </a:ext>
          </a:extLst>
        </xdr:cNvPr>
        <xdr:cNvSpPr>
          <a:spLocks noChangeArrowheads="1"/>
        </xdr:cNvSpPr>
      </xdr:nvSpPr>
      <xdr:spPr bwMode="auto">
        <a:xfrm rot="16200000">
          <a:off x="8541067" y="15947708"/>
          <a:ext cx="336232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594360</xdr:colOff>
      <xdr:row>80</xdr:row>
      <xdr:rowOff>60960</xdr:rowOff>
    </xdr:from>
    <xdr:to>
      <xdr:col>13</xdr:col>
      <xdr:colOff>754380</xdr:colOff>
      <xdr:row>82</xdr:row>
      <xdr:rowOff>72390</xdr:rowOff>
    </xdr:to>
    <xdr:sp macro="" textlink="">
      <xdr:nvSpPr>
        <xdr:cNvPr id="117" name="AutoShape 235">
          <a:extLst>
            <a:ext uri="{FF2B5EF4-FFF2-40B4-BE49-F238E27FC236}">
              <a16:creationId xmlns:a16="http://schemas.microsoft.com/office/drawing/2014/main" id="{469F9EFB-CE26-4507-BF86-0D7580620BBA}"/>
            </a:ext>
          </a:extLst>
        </xdr:cNvPr>
        <xdr:cNvSpPr>
          <a:spLocks noChangeArrowheads="1"/>
        </xdr:cNvSpPr>
      </xdr:nvSpPr>
      <xdr:spPr bwMode="auto">
        <a:xfrm>
          <a:off x="10187940" y="14394180"/>
          <a:ext cx="9448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88</xdr:row>
      <xdr:rowOff>0</xdr:rowOff>
    </xdr:from>
    <xdr:to>
      <xdr:col>13</xdr:col>
      <xdr:colOff>0</xdr:colOff>
      <xdr:row>90</xdr:row>
      <xdr:rowOff>3810</xdr:rowOff>
    </xdr:to>
    <xdr:sp macro="" textlink="">
      <xdr:nvSpPr>
        <xdr:cNvPr id="118" name="AutoShape 235">
          <a:extLst>
            <a:ext uri="{FF2B5EF4-FFF2-40B4-BE49-F238E27FC236}">
              <a16:creationId xmlns:a16="http://schemas.microsoft.com/office/drawing/2014/main" id="{8CD93A26-0903-4834-AB19-9EBC17B41955}"/>
            </a:ext>
          </a:extLst>
        </xdr:cNvPr>
        <xdr:cNvSpPr>
          <a:spLocks noChangeArrowheads="1"/>
        </xdr:cNvSpPr>
      </xdr:nvSpPr>
      <xdr:spPr bwMode="auto">
        <a:xfrm>
          <a:off x="9593580" y="158115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13</xdr:col>
      <xdr:colOff>746760</xdr:colOff>
      <xdr:row>77</xdr:row>
      <xdr:rowOff>3810</xdr:rowOff>
    </xdr:to>
    <xdr:sp macro="" textlink="">
      <xdr:nvSpPr>
        <xdr:cNvPr id="119" name="AutoShape 235">
          <a:extLst>
            <a:ext uri="{FF2B5EF4-FFF2-40B4-BE49-F238E27FC236}">
              <a16:creationId xmlns:a16="http://schemas.microsoft.com/office/drawing/2014/main" id="{D34E8470-C349-4F06-8D60-D057EFD3BF33}"/>
            </a:ext>
          </a:extLst>
        </xdr:cNvPr>
        <xdr:cNvSpPr>
          <a:spLocks noChangeArrowheads="1"/>
        </xdr:cNvSpPr>
      </xdr:nvSpPr>
      <xdr:spPr bwMode="auto">
        <a:xfrm>
          <a:off x="9593580" y="13426440"/>
          <a:ext cx="1531620" cy="40767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15240</xdr:colOff>
      <xdr:row>62</xdr:row>
      <xdr:rowOff>175260</xdr:rowOff>
    </xdr:from>
    <xdr:to>
      <xdr:col>19</xdr:col>
      <xdr:colOff>731520</xdr:colOff>
      <xdr:row>64</xdr:row>
      <xdr:rowOff>144780</xdr:rowOff>
    </xdr:to>
    <xdr:sp macro="" textlink="">
      <xdr:nvSpPr>
        <xdr:cNvPr id="120" name="AutoShape 235">
          <a:extLst>
            <a:ext uri="{FF2B5EF4-FFF2-40B4-BE49-F238E27FC236}">
              <a16:creationId xmlns:a16="http://schemas.microsoft.com/office/drawing/2014/main" id="{495C20E8-115B-411B-92BD-012D2CD398CF}"/>
            </a:ext>
          </a:extLst>
        </xdr:cNvPr>
        <xdr:cNvSpPr>
          <a:spLocks noChangeArrowheads="1"/>
        </xdr:cNvSpPr>
      </xdr:nvSpPr>
      <xdr:spPr bwMode="auto">
        <a:xfrm>
          <a:off x="9608820" y="11468100"/>
          <a:ext cx="6210300" cy="41910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38</xdr:row>
      <xdr:rowOff>0</xdr:rowOff>
    </xdr:from>
    <xdr:to>
      <xdr:col>16</xdr:col>
      <xdr:colOff>723900</xdr:colOff>
      <xdr:row>40</xdr:row>
      <xdr:rowOff>11430</xdr:rowOff>
    </xdr:to>
    <xdr:sp macro="" textlink="">
      <xdr:nvSpPr>
        <xdr:cNvPr id="121" name="AutoShape 235">
          <a:extLst>
            <a:ext uri="{FF2B5EF4-FFF2-40B4-BE49-F238E27FC236}">
              <a16:creationId xmlns:a16="http://schemas.microsoft.com/office/drawing/2014/main" id="{3141D49C-E065-4DE8-AC00-97D313A94149}"/>
            </a:ext>
          </a:extLst>
        </xdr:cNvPr>
        <xdr:cNvSpPr>
          <a:spLocks noChangeArrowheads="1"/>
        </xdr:cNvSpPr>
      </xdr:nvSpPr>
      <xdr:spPr bwMode="auto">
        <a:xfrm>
          <a:off x="9593580" y="6697980"/>
          <a:ext cx="386334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381000</xdr:colOff>
      <xdr:row>38</xdr:row>
      <xdr:rowOff>139066</xdr:rowOff>
    </xdr:from>
    <xdr:to>
      <xdr:col>17</xdr:col>
      <xdr:colOff>62865</xdr:colOff>
      <xdr:row>46</xdr:row>
      <xdr:rowOff>0</xdr:rowOff>
    </xdr:to>
    <xdr:sp macro="" textlink="">
      <xdr:nvSpPr>
        <xdr:cNvPr id="122" name="AutoShape 235">
          <a:extLst>
            <a:ext uri="{FF2B5EF4-FFF2-40B4-BE49-F238E27FC236}">
              <a16:creationId xmlns:a16="http://schemas.microsoft.com/office/drawing/2014/main" id="{442EB773-39FA-4580-9112-E4646C9E1F57}"/>
            </a:ext>
          </a:extLst>
        </xdr:cNvPr>
        <xdr:cNvSpPr>
          <a:spLocks noChangeArrowheads="1"/>
        </xdr:cNvSpPr>
      </xdr:nvSpPr>
      <xdr:spPr bwMode="auto">
        <a:xfrm rot="5400000">
          <a:off x="12734926" y="7345680"/>
          <a:ext cx="1224914" cy="46672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243840</xdr:colOff>
      <xdr:row>43</xdr:row>
      <xdr:rowOff>0</xdr:rowOff>
    </xdr:from>
    <xdr:to>
      <xdr:col>6</xdr:col>
      <xdr:colOff>579120</xdr:colOff>
      <xdr:row>63</xdr:row>
      <xdr:rowOff>114300</xdr:rowOff>
    </xdr:to>
    <xdr:sp macro="" textlink="">
      <xdr:nvSpPr>
        <xdr:cNvPr id="124" name="AutoShape 235">
          <a:extLst>
            <a:ext uri="{FF2B5EF4-FFF2-40B4-BE49-F238E27FC236}">
              <a16:creationId xmlns:a16="http://schemas.microsoft.com/office/drawing/2014/main" id="{45CAC218-531E-415F-92C6-13F6DCD486A1}"/>
            </a:ext>
          </a:extLst>
        </xdr:cNvPr>
        <xdr:cNvSpPr>
          <a:spLocks noChangeArrowheads="1"/>
        </xdr:cNvSpPr>
      </xdr:nvSpPr>
      <xdr:spPr bwMode="auto">
        <a:xfrm rot="5400000">
          <a:off x="3227070" y="9269730"/>
          <a:ext cx="3787140" cy="33528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601980</xdr:colOff>
      <xdr:row>42</xdr:row>
      <xdr:rowOff>167640</xdr:rowOff>
    </xdr:from>
    <xdr:to>
      <xdr:col>6</xdr:col>
      <xdr:colOff>68580</xdr:colOff>
      <xdr:row>74</xdr:row>
      <xdr:rowOff>205740</xdr:rowOff>
    </xdr:to>
    <xdr:sp macro="" textlink="">
      <xdr:nvSpPr>
        <xdr:cNvPr id="125" name="AutoShape 235">
          <a:extLst>
            <a:ext uri="{FF2B5EF4-FFF2-40B4-BE49-F238E27FC236}">
              <a16:creationId xmlns:a16="http://schemas.microsoft.com/office/drawing/2014/main" id="{C7B26E6E-3624-4D39-9D1E-A5128B4BE3EF}"/>
            </a:ext>
          </a:extLst>
        </xdr:cNvPr>
        <xdr:cNvSpPr>
          <a:spLocks noChangeArrowheads="1"/>
        </xdr:cNvSpPr>
      </xdr:nvSpPr>
      <xdr:spPr bwMode="auto">
        <a:xfrm rot="5400000">
          <a:off x="1714500" y="10347960"/>
          <a:ext cx="5875020" cy="25146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731520</xdr:colOff>
      <xdr:row>43</xdr:row>
      <xdr:rowOff>53340</xdr:rowOff>
    </xdr:from>
    <xdr:to>
      <xdr:col>1</xdr:col>
      <xdr:colOff>449580</xdr:colOff>
      <xdr:row>98</xdr:row>
      <xdr:rowOff>144780</xdr:rowOff>
    </xdr:to>
    <xdr:sp macro="" textlink="">
      <xdr:nvSpPr>
        <xdr:cNvPr id="126" name="AutoShape 235">
          <a:extLst>
            <a:ext uri="{FF2B5EF4-FFF2-40B4-BE49-F238E27FC236}">
              <a16:creationId xmlns:a16="http://schemas.microsoft.com/office/drawing/2014/main" id="{62087154-1D77-4F02-8FB9-F04D851266E4}"/>
            </a:ext>
          </a:extLst>
        </xdr:cNvPr>
        <xdr:cNvSpPr>
          <a:spLocks noChangeArrowheads="1"/>
        </xdr:cNvSpPr>
      </xdr:nvSpPr>
      <xdr:spPr bwMode="auto">
        <a:xfrm rot="5400000">
          <a:off x="-4133850" y="12584430"/>
          <a:ext cx="10233660" cy="50292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777240</xdr:colOff>
      <xdr:row>70</xdr:row>
      <xdr:rowOff>0</xdr:rowOff>
    </xdr:from>
    <xdr:to>
      <xdr:col>24</xdr:col>
      <xdr:colOff>769620</xdr:colOff>
      <xdr:row>71</xdr:row>
      <xdr:rowOff>53339</xdr:rowOff>
    </xdr:to>
    <xdr:sp macro="" textlink="">
      <xdr:nvSpPr>
        <xdr:cNvPr id="127" name="AutoShape 2">
          <a:extLst>
            <a:ext uri="{FF2B5EF4-FFF2-40B4-BE49-F238E27FC236}">
              <a16:creationId xmlns:a16="http://schemas.microsoft.com/office/drawing/2014/main" id="{82A4A227-71A9-4A81-81D4-2A785B8CB236}"/>
            </a:ext>
          </a:extLst>
        </xdr:cNvPr>
        <xdr:cNvSpPr>
          <a:spLocks noChangeArrowheads="1"/>
        </xdr:cNvSpPr>
      </xdr:nvSpPr>
      <xdr:spPr bwMode="auto">
        <a:xfrm>
          <a:off x="18531840" y="12710160"/>
          <a:ext cx="1562100" cy="220979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84</xdr:row>
      <xdr:rowOff>1</xdr:rowOff>
    </xdr:from>
    <xdr:to>
      <xdr:col>24</xdr:col>
      <xdr:colOff>769620</xdr:colOff>
      <xdr:row>84</xdr:row>
      <xdr:rowOff>175261</xdr:rowOff>
    </xdr:to>
    <xdr:sp macro="" textlink="">
      <xdr:nvSpPr>
        <xdr:cNvPr id="128" name="AutoShape 2">
          <a:extLst>
            <a:ext uri="{FF2B5EF4-FFF2-40B4-BE49-F238E27FC236}">
              <a16:creationId xmlns:a16="http://schemas.microsoft.com/office/drawing/2014/main" id="{F17B7370-1EFF-4E8E-AF82-805CDF7EEFEC}"/>
            </a:ext>
          </a:extLst>
        </xdr:cNvPr>
        <xdr:cNvSpPr>
          <a:spLocks noChangeArrowheads="1"/>
        </xdr:cNvSpPr>
      </xdr:nvSpPr>
      <xdr:spPr bwMode="auto">
        <a:xfrm>
          <a:off x="16657320" y="15019021"/>
          <a:ext cx="769620" cy="1752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0</xdr:colOff>
      <xdr:row>93</xdr:row>
      <xdr:rowOff>0</xdr:rowOff>
    </xdr:from>
    <xdr:to>
      <xdr:col>24</xdr:col>
      <xdr:colOff>769620</xdr:colOff>
      <xdr:row>94</xdr:row>
      <xdr:rowOff>38100</xdr:rowOff>
    </xdr:to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B197D8B4-1BE2-4A7B-8CF9-ACE17E4F16B2}"/>
            </a:ext>
          </a:extLst>
        </xdr:cNvPr>
        <xdr:cNvSpPr>
          <a:spLocks noChangeArrowheads="1"/>
        </xdr:cNvSpPr>
      </xdr:nvSpPr>
      <xdr:spPr bwMode="auto">
        <a:xfrm>
          <a:off x="16657320" y="16657320"/>
          <a:ext cx="769620" cy="2133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47625</xdr:colOff>
      <xdr:row>75</xdr:row>
      <xdr:rowOff>38100</xdr:rowOff>
    </xdr:from>
    <xdr:to>
      <xdr:col>14</xdr:col>
      <xdr:colOff>266700</xdr:colOff>
      <xdr:row>75</xdr:row>
      <xdr:rowOff>165735</xdr:rowOff>
    </xdr:to>
    <xdr:grpSp>
      <xdr:nvGrpSpPr>
        <xdr:cNvPr id="130" name="Group 232">
          <a:extLst>
            <a:ext uri="{FF2B5EF4-FFF2-40B4-BE49-F238E27FC236}">
              <a16:creationId xmlns:a16="http://schemas.microsoft.com/office/drawing/2014/main" id="{A6B0B28B-926B-4915-A630-3CE1DAF197E7}"/>
            </a:ext>
          </a:extLst>
        </xdr:cNvPr>
        <xdr:cNvGrpSpPr>
          <a:grpSpLocks/>
        </xdr:cNvGrpSpPr>
      </xdr:nvGrpSpPr>
      <xdr:grpSpPr bwMode="auto">
        <a:xfrm>
          <a:off x="11210925" y="13769340"/>
          <a:ext cx="219075" cy="127635"/>
          <a:chOff x="304" y="241"/>
          <a:chExt cx="29" cy="29"/>
        </a:xfrm>
      </xdr:grpSpPr>
      <xdr:sp macro="" textlink="">
        <xdr:nvSpPr>
          <xdr:cNvPr id="131" name="Oval 233">
            <a:extLst>
              <a:ext uri="{FF2B5EF4-FFF2-40B4-BE49-F238E27FC236}">
                <a16:creationId xmlns:a16="http://schemas.microsoft.com/office/drawing/2014/main" id="{70D7A6C5-7C1C-382B-D4BA-81DFE602BB9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" name="AutoShape 234">
            <a:extLst>
              <a:ext uri="{FF2B5EF4-FFF2-40B4-BE49-F238E27FC236}">
                <a16:creationId xmlns:a16="http://schemas.microsoft.com/office/drawing/2014/main" id="{9C2AEAFB-398D-7A83-FB58-0399B92721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772545</xdr:colOff>
      <xdr:row>74</xdr:row>
      <xdr:rowOff>346</xdr:rowOff>
    </xdr:from>
    <xdr:to>
      <xdr:col>24</xdr:col>
      <xdr:colOff>781233</xdr:colOff>
      <xdr:row>74</xdr:row>
      <xdr:rowOff>169713</xdr:rowOff>
    </xdr:to>
    <xdr:sp macro="" textlink="">
      <xdr:nvSpPr>
        <xdr:cNvPr id="133" name="AutoShape 2">
          <a:extLst>
            <a:ext uri="{FF2B5EF4-FFF2-40B4-BE49-F238E27FC236}">
              <a16:creationId xmlns:a16="http://schemas.microsoft.com/office/drawing/2014/main" id="{A840D4A1-ADE1-4955-9220-9A2FB12B5700}"/>
            </a:ext>
          </a:extLst>
        </xdr:cNvPr>
        <xdr:cNvSpPr>
          <a:spLocks noChangeArrowheads="1"/>
        </xdr:cNvSpPr>
      </xdr:nvSpPr>
      <xdr:spPr bwMode="auto">
        <a:xfrm rot="21241643">
          <a:off x="12720705" y="13205806"/>
          <a:ext cx="4717848" cy="169367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783414</xdr:colOff>
      <xdr:row>77</xdr:row>
      <xdr:rowOff>8118</xdr:rowOff>
    </xdr:from>
    <xdr:to>
      <xdr:col>25</xdr:col>
      <xdr:colOff>19423</xdr:colOff>
      <xdr:row>78</xdr:row>
      <xdr:rowOff>40499</xdr:rowOff>
    </xdr:to>
    <xdr:sp macro="" textlink="">
      <xdr:nvSpPr>
        <xdr:cNvPr id="134" name="AutoShape 2">
          <a:extLst>
            <a:ext uri="{FF2B5EF4-FFF2-40B4-BE49-F238E27FC236}">
              <a16:creationId xmlns:a16="http://schemas.microsoft.com/office/drawing/2014/main" id="{59A25F7E-ECFE-4CD7-883A-765C6227F46A}"/>
            </a:ext>
          </a:extLst>
        </xdr:cNvPr>
        <xdr:cNvSpPr>
          <a:spLocks noChangeArrowheads="1"/>
        </xdr:cNvSpPr>
      </xdr:nvSpPr>
      <xdr:spPr bwMode="auto">
        <a:xfrm rot="318807">
          <a:off x="12731574" y="13838418"/>
          <a:ext cx="4730029" cy="200021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648720</xdr:colOff>
      <xdr:row>85</xdr:row>
      <xdr:rowOff>160616</xdr:rowOff>
    </xdr:from>
    <xdr:to>
      <xdr:col>25</xdr:col>
      <xdr:colOff>186794</xdr:colOff>
      <xdr:row>86</xdr:row>
      <xdr:rowOff>156096</xdr:rowOff>
    </xdr:to>
    <xdr:sp macro="" textlink="">
      <xdr:nvSpPr>
        <xdr:cNvPr id="135" name="AutoShape 2">
          <a:extLst>
            <a:ext uri="{FF2B5EF4-FFF2-40B4-BE49-F238E27FC236}">
              <a16:creationId xmlns:a16="http://schemas.microsoft.com/office/drawing/2014/main" id="{06926B6D-7606-4529-B318-13602097C98B}"/>
            </a:ext>
          </a:extLst>
        </xdr:cNvPr>
        <xdr:cNvSpPr>
          <a:spLocks noChangeArrowheads="1"/>
        </xdr:cNvSpPr>
      </xdr:nvSpPr>
      <xdr:spPr bwMode="auto">
        <a:xfrm rot="1272812">
          <a:off x="12596880" y="15408236"/>
          <a:ext cx="5032094" cy="2164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15240</xdr:colOff>
      <xdr:row>110</xdr:row>
      <xdr:rowOff>114300</xdr:rowOff>
    </xdr:from>
    <xdr:to>
      <xdr:col>21</xdr:col>
      <xdr:colOff>335280</xdr:colOff>
      <xdr:row>113</xdr:row>
      <xdr:rowOff>85725</xdr:rowOff>
    </xdr:to>
    <xdr:grpSp>
      <xdr:nvGrpSpPr>
        <xdr:cNvPr id="157" name="Group 245">
          <a:extLst>
            <a:ext uri="{FF2B5EF4-FFF2-40B4-BE49-F238E27FC236}">
              <a16:creationId xmlns:a16="http://schemas.microsoft.com/office/drawing/2014/main" id="{5CD3D7D1-9A18-40EA-80C7-58796310F506}"/>
            </a:ext>
          </a:extLst>
        </xdr:cNvPr>
        <xdr:cNvGrpSpPr>
          <a:grpSpLocks/>
        </xdr:cNvGrpSpPr>
      </xdr:nvGrpSpPr>
      <xdr:grpSpPr bwMode="auto">
        <a:xfrm>
          <a:off x="10393680" y="20078700"/>
          <a:ext cx="6598920" cy="474345"/>
          <a:chOff x="79" y="968"/>
          <a:chExt cx="303" cy="36"/>
        </a:xfrm>
      </xdr:grpSpPr>
      <xdr:sp macro="" textlink="">
        <xdr:nvSpPr>
          <xdr:cNvPr id="158" name="Line 237">
            <a:extLst>
              <a:ext uri="{FF2B5EF4-FFF2-40B4-BE49-F238E27FC236}">
                <a16:creationId xmlns:a16="http://schemas.microsoft.com/office/drawing/2014/main" id="{A1BFB92D-96D2-B637-5C26-27A48CE0E760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9" name="Line 241">
            <a:extLst>
              <a:ext uri="{FF2B5EF4-FFF2-40B4-BE49-F238E27FC236}">
                <a16:creationId xmlns:a16="http://schemas.microsoft.com/office/drawing/2014/main" id="{8A21C41D-EC7C-2D33-8E1F-848F3AE7D386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Line 242">
            <a:extLst>
              <a:ext uri="{FF2B5EF4-FFF2-40B4-BE49-F238E27FC236}">
                <a16:creationId xmlns:a16="http://schemas.microsoft.com/office/drawing/2014/main" id="{13B6F849-5ED2-8455-7A5F-F0282088CE0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243">
            <a:extLst>
              <a:ext uri="{FF2B5EF4-FFF2-40B4-BE49-F238E27FC236}">
                <a16:creationId xmlns:a16="http://schemas.microsoft.com/office/drawing/2014/main" id="{D7DD0D47-8569-E6CD-4EEB-72D45E2D41C7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244">
            <a:extLst>
              <a:ext uri="{FF2B5EF4-FFF2-40B4-BE49-F238E27FC236}">
                <a16:creationId xmlns:a16="http://schemas.microsoft.com/office/drawing/2014/main" id="{CA6E9AAC-CECD-6D1B-8130-B058B48FED1E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114300</xdr:colOff>
      <xdr:row>110</xdr:row>
      <xdr:rowOff>114300</xdr:rowOff>
    </xdr:from>
    <xdr:to>
      <xdr:col>25</xdr:col>
      <xdr:colOff>723900</xdr:colOff>
      <xdr:row>113</xdr:row>
      <xdr:rowOff>85725</xdr:rowOff>
    </xdr:to>
    <xdr:grpSp>
      <xdr:nvGrpSpPr>
        <xdr:cNvPr id="163" name="Group 245">
          <a:extLst>
            <a:ext uri="{FF2B5EF4-FFF2-40B4-BE49-F238E27FC236}">
              <a16:creationId xmlns:a16="http://schemas.microsoft.com/office/drawing/2014/main" id="{3AE6D961-B424-43AF-9626-E54EDCA4835F}"/>
            </a:ext>
          </a:extLst>
        </xdr:cNvPr>
        <xdr:cNvGrpSpPr>
          <a:grpSpLocks/>
        </xdr:cNvGrpSpPr>
      </xdr:nvGrpSpPr>
      <xdr:grpSpPr bwMode="auto">
        <a:xfrm>
          <a:off x="16771620" y="20078700"/>
          <a:ext cx="4061460" cy="474345"/>
          <a:chOff x="79" y="968"/>
          <a:chExt cx="303" cy="36"/>
        </a:xfrm>
      </xdr:grpSpPr>
      <xdr:sp macro="" textlink="">
        <xdr:nvSpPr>
          <xdr:cNvPr id="164" name="Line 237">
            <a:extLst>
              <a:ext uri="{FF2B5EF4-FFF2-40B4-BE49-F238E27FC236}">
                <a16:creationId xmlns:a16="http://schemas.microsoft.com/office/drawing/2014/main" id="{C6CC4E37-2C64-1A14-51D4-971216878267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Line 241">
            <a:extLst>
              <a:ext uri="{FF2B5EF4-FFF2-40B4-BE49-F238E27FC236}">
                <a16:creationId xmlns:a16="http://schemas.microsoft.com/office/drawing/2014/main" id="{60F81EA3-CCD0-4B5C-9DD5-C7796369ED01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" name="Line 242">
            <a:extLst>
              <a:ext uri="{FF2B5EF4-FFF2-40B4-BE49-F238E27FC236}">
                <a16:creationId xmlns:a16="http://schemas.microsoft.com/office/drawing/2014/main" id="{FD9D8B8E-524D-92B7-BB66-65E7396B98EA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43">
            <a:extLst>
              <a:ext uri="{FF2B5EF4-FFF2-40B4-BE49-F238E27FC236}">
                <a16:creationId xmlns:a16="http://schemas.microsoft.com/office/drawing/2014/main" id="{9DFF06E4-2C1D-A2F0-4D1A-D4349F57C8A9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244">
            <a:extLst>
              <a:ext uri="{FF2B5EF4-FFF2-40B4-BE49-F238E27FC236}">
                <a16:creationId xmlns:a16="http://schemas.microsoft.com/office/drawing/2014/main" id="{29D2B948-5BF8-D635-D9F9-77E8F7A9D528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236220</xdr:colOff>
      <xdr:row>110</xdr:row>
      <xdr:rowOff>91440</xdr:rowOff>
    </xdr:from>
    <xdr:to>
      <xdr:col>9</xdr:col>
      <xdr:colOff>15240</xdr:colOff>
      <xdr:row>113</xdr:row>
      <xdr:rowOff>62865</xdr:rowOff>
    </xdr:to>
    <xdr:grpSp>
      <xdr:nvGrpSpPr>
        <xdr:cNvPr id="169" name="Group 245">
          <a:extLst>
            <a:ext uri="{FF2B5EF4-FFF2-40B4-BE49-F238E27FC236}">
              <a16:creationId xmlns:a16="http://schemas.microsoft.com/office/drawing/2014/main" id="{173C433B-984E-4FBA-9440-23507BCBC4D4}"/>
            </a:ext>
          </a:extLst>
        </xdr:cNvPr>
        <xdr:cNvGrpSpPr>
          <a:grpSpLocks/>
        </xdr:cNvGrpSpPr>
      </xdr:nvGrpSpPr>
      <xdr:grpSpPr bwMode="auto">
        <a:xfrm>
          <a:off x="1021080" y="20055840"/>
          <a:ext cx="6408420" cy="474345"/>
          <a:chOff x="79" y="968"/>
          <a:chExt cx="303" cy="36"/>
        </a:xfrm>
      </xdr:grpSpPr>
      <xdr:sp macro="" textlink="">
        <xdr:nvSpPr>
          <xdr:cNvPr id="170" name="Line 237">
            <a:extLst>
              <a:ext uri="{FF2B5EF4-FFF2-40B4-BE49-F238E27FC236}">
                <a16:creationId xmlns:a16="http://schemas.microsoft.com/office/drawing/2014/main" id="{3A6FB55F-AE83-B4C7-515E-50FDAEA59F20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241">
            <a:extLst>
              <a:ext uri="{FF2B5EF4-FFF2-40B4-BE49-F238E27FC236}">
                <a16:creationId xmlns:a16="http://schemas.microsoft.com/office/drawing/2014/main" id="{1C7A5720-9616-29C9-157C-48EA68C39B41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242">
            <a:extLst>
              <a:ext uri="{FF2B5EF4-FFF2-40B4-BE49-F238E27FC236}">
                <a16:creationId xmlns:a16="http://schemas.microsoft.com/office/drawing/2014/main" id="{D2F59087-87D7-2217-3745-252B9E37C818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Line 243">
            <a:extLst>
              <a:ext uri="{FF2B5EF4-FFF2-40B4-BE49-F238E27FC236}">
                <a16:creationId xmlns:a16="http://schemas.microsoft.com/office/drawing/2014/main" id="{A971AC58-6ADF-EFFB-A5E7-1CD88AE5FE9D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4" name="Line 244">
            <a:extLst>
              <a:ext uri="{FF2B5EF4-FFF2-40B4-BE49-F238E27FC236}">
                <a16:creationId xmlns:a16="http://schemas.microsoft.com/office/drawing/2014/main" id="{AA038C1A-1101-053A-5F8B-262B5003BE68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960120</xdr:colOff>
      <xdr:row>46</xdr:row>
      <xdr:rowOff>205740</xdr:rowOff>
    </xdr:from>
    <xdr:to>
      <xdr:col>10</xdr:col>
      <xdr:colOff>15241</xdr:colOff>
      <xdr:row>48</xdr:row>
      <xdr:rowOff>83820</xdr:rowOff>
    </xdr:to>
    <xdr:sp macro="" textlink="">
      <xdr:nvSpPr>
        <xdr:cNvPr id="180" name="AutoShape 235">
          <a:extLst>
            <a:ext uri="{FF2B5EF4-FFF2-40B4-BE49-F238E27FC236}">
              <a16:creationId xmlns:a16="http://schemas.microsoft.com/office/drawing/2014/main" id="{2CB212C6-3E81-4A58-9727-33A4CC355D9B}"/>
            </a:ext>
          </a:extLst>
        </xdr:cNvPr>
        <xdr:cNvSpPr>
          <a:spLocks noChangeArrowheads="1"/>
        </xdr:cNvSpPr>
      </xdr:nvSpPr>
      <xdr:spPr bwMode="auto">
        <a:xfrm>
          <a:off x="6454140" y="8389620"/>
          <a:ext cx="1760221" cy="320040"/>
        </a:xfrm>
        <a:prstGeom prst="rightArrow">
          <a:avLst>
            <a:gd name="adj1" fmla="val 55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891540</xdr:colOff>
      <xdr:row>42</xdr:row>
      <xdr:rowOff>152400</xdr:rowOff>
    </xdr:from>
    <xdr:to>
      <xdr:col>8</xdr:col>
      <xdr:colOff>91440</xdr:colOff>
      <xdr:row>47</xdr:row>
      <xdr:rowOff>213360</xdr:rowOff>
    </xdr:to>
    <xdr:sp macro="" textlink="">
      <xdr:nvSpPr>
        <xdr:cNvPr id="181" name="AutoShape 235">
          <a:extLst>
            <a:ext uri="{FF2B5EF4-FFF2-40B4-BE49-F238E27FC236}">
              <a16:creationId xmlns:a16="http://schemas.microsoft.com/office/drawing/2014/main" id="{DBE15217-0376-4644-90CB-20B1206872E8}"/>
            </a:ext>
          </a:extLst>
        </xdr:cNvPr>
        <xdr:cNvSpPr>
          <a:spLocks noChangeArrowheads="1"/>
        </xdr:cNvSpPr>
      </xdr:nvSpPr>
      <xdr:spPr bwMode="auto">
        <a:xfrm rot="5400000">
          <a:off x="6065520" y="7840980"/>
          <a:ext cx="975360" cy="33528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47625</xdr:colOff>
      <xdr:row>1</xdr:row>
      <xdr:rowOff>38100</xdr:rowOff>
    </xdr:from>
    <xdr:to>
      <xdr:col>21</xdr:col>
      <xdr:colOff>266700</xdr:colOff>
      <xdr:row>1</xdr:row>
      <xdr:rowOff>165735</xdr:rowOff>
    </xdr:to>
    <xdr:grpSp>
      <xdr:nvGrpSpPr>
        <xdr:cNvPr id="182" name="Group 232">
          <a:extLst>
            <a:ext uri="{FF2B5EF4-FFF2-40B4-BE49-F238E27FC236}">
              <a16:creationId xmlns:a16="http://schemas.microsoft.com/office/drawing/2014/main" id="{44154925-3790-466C-98EA-9E9A8F5B215B}"/>
            </a:ext>
          </a:extLst>
        </xdr:cNvPr>
        <xdr:cNvGrpSpPr>
          <a:grpSpLocks/>
        </xdr:cNvGrpSpPr>
      </xdr:nvGrpSpPr>
      <xdr:grpSpPr bwMode="auto">
        <a:xfrm>
          <a:off x="16704945" y="266700"/>
          <a:ext cx="219075" cy="127635"/>
          <a:chOff x="304" y="241"/>
          <a:chExt cx="29" cy="29"/>
        </a:xfrm>
      </xdr:grpSpPr>
      <xdr:sp macro="" textlink="">
        <xdr:nvSpPr>
          <xdr:cNvPr id="183" name="Oval 233">
            <a:extLst>
              <a:ext uri="{FF2B5EF4-FFF2-40B4-BE49-F238E27FC236}">
                <a16:creationId xmlns:a16="http://schemas.microsoft.com/office/drawing/2014/main" id="{7D012988-A18A-7AF4-6C3E-A02022466CF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4" name="AutoShape 234">
            <a:extLst>
              <a:ext uri="{FF2B5EF4-FFF2-40B4-BE49-F238E27FC236}">
                <a16:creationId xmlns:a16="http://schemas.microsoft.com/office/drawing/2014/main" id="{3B349A16-1871-685C-8D9B-C874453D9A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15240</xdr:colOff>
      <xdr:row>30</xdr:row>
      <xdr:rowOff>38100</xdr:rowOff>
    </xdr:from>
    <xdr:to>
      <xdr:col>7</xdr:col>
      <xdr:colOff>189604</xdr:colOff>
      <xdr:row>38</xdr:row>
      <xdr:rowOff>68580</xdr:rowOff>
    </xdr:to>
    <xdr:pic>
      <xdr:nvPicPr>
        <xdr:cNvPr id="186" name="Picture 94">
          <a:extLst>
            <a:ext uri="{FF2B5EF4-FFF2-40B4-BE49-F238E27FC236}">
              <a16:creationId xmlns:a16="http://schemas.microsoft.com/office/drawing/2014/main" id="{9D9936A7-9FDC-4F2A-94D0-7D8E96FFF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5257800"/>
          <a:ext cx="959224" cy="1630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47625</xdr:colOff>
      <xdr:row>58</xdr:row>
      <xdr:rowOff>38100</xdr:rowOff>
    </xdr:from>
    <xdr:to>
      <xdr:col>20</xdr:col>
      <xdr:colOff>266700</xdr:colOff>
      <xdr:row>58</xdr:row>
      <xdr:rowOff>173355</xdr:rowOff>
    </xdr:to>
    <xdr:grpSp>
      <xdr:nvGrpSpPr>
        <xdr:cNvPr id="188" name="Group 232">
          <a:extLst>
            <a:ext uri="{FF2B5EF4-FFF2-40B4-BE49-F238E27FC236}">
              <a16:creationId xmlns:a16="http://schemas.microsoft.com/office/drawing/2014/main" id="{8265636F-8C35-4BFF-B5FC-702B1FC9B382}"/>
            </a:ext>
          </a:extLst>
        </xdr:cNvPr>
        <xdr:cNvGrpSpPr>
          <a:grpSpLocks/>
        </xdr:cNvGrpSpPr>
      </xdr:nvGrpSpPr>
      <xdr:grpSpPr bwMode="auto">
        <a:xfrm>
          <a:off x="15920085" y="10485120"/>
          <a:ext cx="219075" cy="135255"/>
          <a:chOff x="304" y="241"/>
          <a:chExt cx="29" cy="29"/>
        </a:xfrm>
      </xdr:grpSpPr>
      <xdr:sp macro="" textlink="">
        <xdr:nvSpPr>
          <xdr:cNvPr id="189" name="Oval 233">
            <a:extLst>
              <a:ext uri="{FF2B5EF4-FFF2-40B4-BE49-F238E27FC236}">
                <a16:creationId xmlns:a16="http://schemas.microsoft.com/office/drawing/2014/main" id="{22F026BE-A817-BFBB-1E4A-B44E901C535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0" name="AutoShape 234">
            <a:extLst>
              <a:ext uri="{FF2B5EF4-FFF2-40B4-BE49-F238E27FC236}">
                <a16:creationId xmlns:a16="http://schemas.microsoft.com/office/drawing/2014/main" id="{257ABB18-2ED3-AAF3-EFB0-805AC417C4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0</xdr:colOff>
      <xdr:row>75</xdr:row>
      <xdr:rowOff>198120</xdr:rowOff>
    </xdr:from>
    <xdr:to>
      <xdr:col>17</xdr:col>
      <xdr:colOff>53340</xdr:colOff>
      <xdr:row>81</xdr:row>
      <xdr:rowOff>15240</xdr:rowOff>
    </xdr:to>
    <xdr:pic>
      <xdr:nvPicPr>
        <xdr:cNvPr id="192" name="Picture 88">
          <a:extLst>
            <a:ext uri="{FF2B5EF4-FFF2-40B4-BE49-F238E27FC236}">
              <a16:creationId xmlns:a16="http://schemas.microsoft.com/office/drawing/2014/main" id="{A6BB2ED5-CE52-4930-8506-B1F59C7A8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3020" y="13860780"/>
          <a:ext cx="838200" cy="8915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7620</xdr:colOff>
      <xdr:row>88</xdr:row>
      <xdr:rowOff>121920</xdr:rowOff>
    </xdr:from>
    <xdr:to>
      <xdr:col>22</xdr:col>
      <xdr:colOff>769620</xdr:colOff>
      <xdr:row>90</xdr:row>
      <xdr:rowOff>0</xdr:rowOff>
    </xdr:to>
    <xdr:sp macro="" textlink="">
      <xdr:nvSpPr>
        <xdr:cNvPr id="193" name="AutoShape 2">
          <a:extLst>
            <a:ext uri="{FF2B5EF4-FFF2-40B4-BE49-F238E27FC236}">
              <a16:creationId xmlns:a16="http://schemas.microsoft.com/office/drawing/2014/main" id="{6BFFDD88-AC8A-47CD-9F51-0BE3D2B0C13C}"/>
            </a:ext>
          </a:extLst>
        </xdr:cNvPr>
        <xdr:cNvSpPr>
          <a:spLocks noChangeArrowheads="1"/>
        </xdr:cNvSpPr>
      </xdr:nvSpPr>
      <xdr:spPr bwMode="auto">
        <a:xfrm>
          <a:off x="14310360" y="16192500"/>
          <a:ext cx="4213860" cy="22098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784859</xdr:colOff>
      <xdr:row>37</xdr:row>
      <xdr:rowOff>7620</xdr:rowOff>
    </xdr:from>
    <xdr:to>
      <xdr:col>5</xdr:col>
      <xdr:colOff>586739</xdr:colOff>
      <xdr:row>41</xdr:row>
      <xdr:rowOff>81915</xdr:rowOff>
    </xdr:to>
    <xdr:sp macro="" textlink="">
      <xdr:nvSpPr>
        <xdr:cNvPr id="194" name="AutoShape 18">
          <a:extLst>
            <a:ext uri="{FF2B5EF4-FFF2-40B4-BE49-F238E27FC236}">
              <a16:creationId xmlns:a16="http://schemas.microsoft.com/office/drawing/2014/main" id="{7CD97C0B-3358-42C9-B260-11D81E384803}"/>
            </a:ext>
          </a:extLst>
        </xdr:cNvPr>
        <xdr:cNvSpPr>
          <a:spLocks noChangeArrowheads="1"/>
        </xdr:cNvSpPr>
      </xdr:nvSpPr>
      <xdr:spPr bwMode="auto">
        <a:xfrm flipH="1">
          <a:off x="3924299" y="6652260"/>
          <a:ext cx="586740" cy="752475"/>
        </a:xfrm>
        <a:custGeom>
          <a:avLst/>
          <a:gdLst>
            <a:gd name="T0" fmla="*/ 28833399 w 21600"/>
            <a:gd name="T1" fmla="*/ 20439495 h 21600"/>
            <a:gd name="T2" fmla="*/ 1894494 w 21600"/>
            <a:gd name="T3" fmla="*/ 9210354 h 21600"/>
            <a:gd name="T4" fmla="*/ 28833399 w 21600"/>
            <a:gd name="T5" fmla="*/ 20439495 h 21600"/>
            <a:gd name="T6" fmla="*/ -2942244 w 21600"/>
            <a:gd name="T7" fmla="*/ 24399097 h 21600"/>
            <a:gd name="T8" fmla="*/ -439473 w 21600"/>
            <a:gd name="T9" fmla="*/ 18778645 h 21600"/>
            <a:gd name="T10" fmla="*/ 4022207 w 21600"/>
            <a:gd name="T11" fmla="*/ 21931503 h 2160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3163 w 21600"/>
            <a:gd name="T19" fmla="*/ 3163 h 21600"/>
            <a:gd name="T20" fmla="*/ 18437 w 21600"/>
            <a:gd name="T21" fmla="*/ 18437 h 2160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1600" h="21600">
              <a:moveTo>
                <a:pt x="403" y="13725"/>
              </a:moveTo>
              <a:cubicBezTo>
                <a:pt x="1714" y="18382"/>
                <a:pt x="5961" y="21599"/>
                <a:pt x="10800" y="21599"/>
              </a:cubicBezTo>
              <a:cubicBezTo>
                <a:pt x="16764" y="21600"/>
                <a:pt x="21600" y="16764"/>
                <a:pt x="21600" y="10800"/>
              </a:cubicBezTo>
              <a:cubicBezTo>
                <a:pt x="21600" y="4835"/>
                <a:pt x="16764" y="0"/>
                <a:pt x="10800" y="0"/>
              </a:cubicBezTo>
              <a:cubicBezTo>
                <a:pt x="6918" y="0"/>
                <a:pt x="3334" y="2083"/>
                <a:pt x="1414" y="5457"/>
              </a:cubicBezTo>
              <a:cubicBezTo>
                <a:pt x="3334" y="2083"/>
                <a:pt x="6918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ubicBezTo>
                <a:pt x="21600" y="16764"/>
                <a:pt x="16764" y="21600"/>
                <a:pt x="10800" y="21600"/>
              </a:cubicBezTo>
              <a:cubicBezTo>
                <a:pt x="5961" y="21599"/>
                <a:pt x="1714" y="18382"/>
                <a:pt x="403" y="13725"/>
              </a:cubicBezTo>
              <a:lnTo>
                <a:pt x="-2196" y="14456"/>
              </a:lnTo>
              <a:lnTo>
                <a:pt x="-328" y="11126"/>
              </a:lnTo>
              <a:lnTo>
                <a:pt x="3002" y="12994"/>
              </a:lnTo>
              <a:lnTo>
                <a:pt x="403" y="1372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347622</xdr:colOff>
      <xdr:row>56</xdr:row>
      <xdr:rowOff>168146</xdr:rowOff>
    </xdr:from>
    <xdr:to>
      <xdr:col>22</xdr:col>
      <xdr:colOff>594663</xdr:colOff>
      <xdr:row>63</xdr:row>
      <xdr:rowOff>93571</xdr:rowOff>
    </xdr:to>
    <xdr:sp macro="" textlink="">
      <xdr:nvSpPr>
        <xdr:cNvPr id="197" name="AutoShape 2">
          <a:extLst>
            <a:ext uri="{FF2B5EF4-FFF2-40B4-BE49-F238E27FC236}">
              <a16:creationId xmlns:a16="http://schemas.microsoft.com/office/drawing/2014/main" id="{882C2628-A7BE-474B-B874-82553FC84B42}"/>
            </a:ext>
          </a:extLst>
        </xdr:cNvPr>
        <xdr:cNvSpPr>
          <a:spLocks noChangeArrowheads="1"/>
        </xdr:cNvSpPr>
      </xdr:nvSpPr>
      <xdr:spPr bwMode="auto">
        <a:xfrm rot="2961016">
          <a:off x="17527700" y="10793448"/>
          <a:ext cx="1396085" cy="247041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769620</xdr:colOff>
      <xdr:row>8</xdr:row>
      <xdr:rowOff>7620</xdr:rowOff>
    </xdr:from>
    <xdr:to>
      <xdr:col>27</xdr:col>
      <xdr:colOff>790575</xdr:colOff>
      <xdr:row>10</xdr:row>
      <xdr:rowOff>156210</xdr:rowOff>
    </xdr:to>
    <xdr:grpSp>
      <xdr:nvGrpSpPr>
        <xdr:cNvPr id="2" name="Group 256">
          <a:extLst>
            <a:ext uri="{FF2B5EF4-FFF2-40B4-BE49-F238E27FC236}">
              <a16:creationId xmlns:a16="http://schemas.microsoft.com/office/drawing/2014/main" id="{C0811AFC-0F70-464E-A27A-C913C19F45B1}"/>
            </a:ext>
          </a:extLst>
        </xdr:cNvPr>
        <xdr:cNvGrpSpPr>
          <a:grpSpLocks/>
        </xdr:cNvGrpSpPr>
      </xdr:nvGrpSpPr>
      <xdr:grpSpPr bwMode="auto">
        <a:xfrm>
          <a:off x="21983700" y="1478280"/>
          <a:ext cx="813435" cy="483870"/>
          <a:chOff x="267" y="335"/>
          <a:chExt cx="150" cy="88"/>
        </a:xfrm>
      </xdr:grpSpPr>
      <xdr:sp macro="" textlink="">
        <xdr:nvSpPr>
          <xdr:cNvPr id="3" name="Rectangle 257">
            <a:extLst>
              <a:ext uri="{FF2B5EF4-FFF2-40B4-BE49-F238E27FC236}">
                <a16:creationId xmlns:a16="http://schemas.microsoft.com/office/drawing/2014/main" id="{C52391FA-C328-D1AF-9449-A07DD9E64950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Armado y Soldaura</a:t>
            </a:r>
          </a:p>
        </xdr:txBody>
      </xdr:sp>
      <xdr:sp macro="" textlink="">
        <xdr:nvSpPr>
          <xdr:cNvPr id="4" name="AutoShape 258">
            <a:extLst>
              <a:ext uri="{FF2B5EF4-FFF2-40B4-BE49-F238E27FC236}">
                <a16:creationId xmlns:a16="http://schemas.microsoft.com/office/drawing/2014/main" id="{9C753DCC-41C9-515F-6931-4BB797211C80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" name="AutoShape 259">
            <a:extLst>
              <a:ext uri="{FF2B5EF4-FFF2-40B4-BE49-F238E27FC236}">
                <a16:creationId xmlns:a16="http://schemas.microsoft.com/office/drawing/2014/main" id="{0ADFB7C5-88D8-B443-1DB5-74E8088551FB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" name="AutoShape 260">
            <a:extLst>
              <a:ext uri="{FF2B5EF4-FFF2-40B4-BE49-F238E27FC236}">
                <a16:creationId xmlns:a16="http://schemas.microsoft.com/office/drawing/2014/main" id="{23BB4167-B0A7-C32E-89BB-439DDB08B13F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7" name="AutoShape 261">
            <a:extLst>
              <a:ext uri="{FF2B5EF4-FFF2-40B4-BE49-F238E27FC236}">
                <a16:creationId xmlns:a16="http://schemas.microsoft.com/office/drawing/2014/main" id="{BBF1BADC-D5EB-10AF-3825-926523E9BDE9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8" name="AutoShape 262">
            <a:extLst>
              <a:ext uri="{FF2B5EF4-FFF2-40B4-BE49-F238E27FC236}">
                <a16:creationId xmlns:a16="http://schemas.microsoft.com/office/drawing/2014/main" id="{468B039E-8BF8-73B1-A6B8-EF3B1D7BA56D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9" name="AutoShape 263">
            <a:extLst>
              <a:ext uri="{FF2B5EF4-FFF2-40B4-BE49-F238E27FC236}">
                <a16:creationId xmlns:a16="http://schemas.microsoft.com/office/drawing/2014/main" id="{A2ADFB56-0FBB-F7A1-1028-AF8412DF7283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27</xdr:col>
      <xdr:colOff>0</xdr:colOff>
      <xdr:row>14</xdr:row>
      <xdr:rowOff>0</xdr:rowOff>
    </xdr:from>
    <xdr:to>
      <xdr:col>27</xdr:col>
      <xdr:colOff>333375</xdr:colOff>
      <xdr:row>15</xdr:row>
      <xdr:rowOff>34290</xdr:rowOff>
    </xdr:to>
    <xdr:grpSp>
      <xdr:nvGrpSpPr>
        <xdr:cNvPr id="12" name="Group 39">
          <a:extLst>
            <a:ext uri="{FF2B5EF4-FFF2-40B4-BE49-F238E27FC236}">
              <a16:creationId xmlns:a16="http://schemas.microsoft.com/office/drawing/2014/main" id="{73E6B2E8-EBDB-46CC-81D8-F2D8A6D80755}"/>
            </a:ext>
          </a:extLst>
        </xdr:cNvPr>
        <xdr:cNvGrpSpPr>
          <a:grpSpLocks/>
        </xdr:cNvGrpSpPr>
      </xdr:nvGrpSpPr>
      <xdr:grpSpPr bwMode="auto">
        <a:xfrm>
          <a:off x="22006560" y="2545080"/>
          <a:ext cx="333375" cy="201930"/>
          <a:chOff x="320" y="533"/>
          <a:chExt cx="52" cy="52"/>
        </a:xfrm>
      </xdr:grpSpPr>
      <xdr:sp macro="" textlink="">
        <xdr:nvSpPr>
          <xdr:cNvPr id="13" name="Rectangle 40">
            <a:extLst>
              <a:ext uri="{FF2B5EF4-FFF2-40B4-BE49-F238E27FC236}">
                <a16:creationId xmlns:a16="http://schemas.microsoft.com/office/drawing/2014/main" id="{51103F03-F0C2-C9AB-ADD5-122E66DBA6DC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" name="Rectangle 41">
            <a:extLst>
              <a:ext uri="{FF2B5EF4-FFF2-40B4-BE49-F238E27FC236}">
                <a16:creationId xmlns:a16="http://schemas.microsoft.com/office/drawing/2014/main" id="{D109242D-093B-0F77-80F7-FA6EA886A237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" name="AutoShape 42">
            <a:extLst>
              <a:ext uri="{FF2B5EF4-FFF2-40B4-BE49-F238E27FC236}">
                <a16:creationId xmlns:a16="http://schemas.microsoft.com/office/drawing/2014/main" id="{81B81FF6-22B9-BEBE-55E0-E56FED532EAB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" name="AutoShape 43">
            <a:extLst>
              <a:ext uri="{FF2B5EF4-FFF2-40B4-BE49-F238E27FC236}">
                <a16:creationId xmlns:a16="http://schemas.microsoft.com/office/drawing/2014/main" id="{C40703C0-A461-BE6A-0F18-8CEA483CEFE3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" name="AutoShape 44">
            <a:extLst>
              <a:ext uri="{FF2B5EF4-FFF2-40B4-BE49-F238E27FC236}">
                <a16:creationId xmlns:a16="http://schemas.microsoft.com/office/drawing/2014/main" id="{0E48EFBB-6B0D-7110-16DB-8EB91A7AEDFD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" name="AutoShape 45">
            <a:extLst>
              <a:ext uri="{FF2B5EF4-FFF2-40B4-BE49-F238E27FC236}">
                <a16:creationId xmlns:a16="http://schemas.microsoft.com/office/drawing/2014/main" id="{629CD886-EA5E-D647-7937-BDE45586BFFB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s-VE"/>
          </a:p>
        </xdr:txBody>
      </xdr:sp>
    </xdr:grpSp>
    <xdr:clientData/>
  </xdr:twoCellAnchor>
  <xdr:twoCellAnchor>
    <xdr:from>
      <xdr:col>27</xdr:col>
      <xdr:colOff>350520</xdr:colOff>
      <xdr:row>12</xdr:row>
      <xdr:rowOff>45720</xdr:rowOff>
    </xdr:from>
    <xdr:to>
      <xdr:col>27</xdr:col>
      <xdr:colOff>685800</xdr:colOff>
      <xdr:row>39</xdr:row>
      <xdr:rowOff>121920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DC850EA2-45F9-4D69-9CDB-85437C9A1F03}"/>
            </a:ext>
          </a:extLst>
        </xdr:cNvPr>
        <xdr:cNvSpPr>
          <a:spLocks noChangeArrowheads="1"/>
        </xdr:cNvSpPr>
      </xdr:nvSpPr>
      <xdr:spPr bwMode="auto">
        <a:xfrm rot="16200000">
          <a:off x="20063460" y="3177540"/>
          <a:ext cx="4922520" cy="33528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24</xdr:col>
      <xdr:colOff>47625</xdr:colOff>
      <xdr:row>73</xdr:row>
      <xdr:rowOff>38100</xdr:rowOff>
    </xdr:from>
    <xdr:to>
      <xdr:col>24</xdr:col>
      <xdr:colOff>266700</xdr:colOff>
      <xdr:row>73</xdr:row>
      <xdr:rowOff>165735</xdr:rowOff>
    </xdr:to>
    <xdr:grpSp>
      <xdr:nvGrpSpPr>
        <xdr:cNvPr id="24" name="Group 102">
          <a:extLst>
            <a:ext uri="{FF2B5EF4-FFF2-40B4-BE49-F238E27FC236}">
              <a16:creationId xmlns:a16="http://schemas.microsoft.com/office/drawing/2014/main" id="{759BCD95-C8F6-4521-8172-1983DFD4EDFF}"/>
            </a:ext>
          </a:extLst>
        </xdr:cNvPr>
        <xdr:cNvGrpSpPr>
          <a:grpSpLocks/>
        </xdr:cNvGrpSpPr>
      </xdr:nvGrpSpPr>
      <xdr:grpSpPr bwMode="auto">
        <a:xfrm>
          <a:off x="19676745" y="13144500"/>
          <a:ext cx="219075" cy="127635"/>
          <a:chOff x="304" y="241"/>
          <a:chExt cx="29" cy="29"/>
        </a:xfrm>
      </xdr:grpSpPr>
      <xdr:sp macro="" textlink="">
        <xdr:nvSpPr>
          <xdr:cNvPr id="25" name="Oval 103">
            <a:extLst>
              <a:ext uri="{FF2B5EF4-FFF2-40B4-BE49-F238E27FC236}">
                <a16:creationId xmlns:a16="http://schemas.microsoft.com/office/drawing/2014/main" id="{09FDF74B-9BFF-5873-6C31-B8673153E78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" name="AutoShape 104">
            <a:extLst>
              <a:ext uri="{FF2B5EF4-FFF2-40B4-BE49-F238E27FC236}">
                <a16:creationId xmlns:a16="http://schemas.microsoft.com/office/drawing/2014/main" id="{C1ECD03C-7656-C62B-02CD-1F76546AA6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47625</xdr:colOff>
      <xdr:row>18</xdr:row>
      <xdr:rowOff>38100</xdr:rowOff>
    </xdr:from>
    <xdr:to>
      <xdr:col>19</xdr:col>
      <xdr:colOff>266700</xdr:colOff>
      <xdr:row>18</xdr:row>
      <xdr:rowOff>165735</xdr:rowOff>
    </xdr:to>
    <xdr:grpSp>
      <xdr:nvGrpSpPr>
        <xdr:cNvPr id="30" name="Group 102">
          <a:extLst>
            <a:ext uri="{FF2B5EF4-FFF2-40B4-BE49-F238E27FC236}">
              <a16:creationId xmlns:a16="http://schemas.microsoft.com/office/drawing/2014/main" id="{FFC0346E-7EF3-471F-8893-60B60FBACC9B}"/>
            </a:ext>
          </a:extLst>
        </xdr:cNvPr>
        <xdr:cNvGrpSpPr>
          <a:grpSpLocks/>
        </xdr:cNvGrpSpPr>
      </xdr:nvGrpSpPr>
      <xdr:grpSpPr bwMode="auto">
        <a:xfrm>
          <a:off x="15714345" y="3314700"/>
          <a:ext cx="219075" cy="127635"/>
          <a:chOff x="304" y="241"/>
          <a:chExt cx="29" cy="29"/>
        </a:xfrm>
      </xdr:grpSpPr>
      <xdr:sp macro="" textlink="">
        <xdr:nvSpPr>
          <xdr:cNvPr id="31" name="Oval 103">
            <a:extLst>
              <a:ext uri="{FF2B5EF4-FFF2-40B4-BE49-F238E27FC236}">
                <a16:creationId xmlns:a16="http://schemas.microsoft.com/office/drawing/2014/main" id="{B231A794-3CE3-8A78-D24C-02624150CE18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AutoShape 104">
            <a:extLst>
              <a:ext uri="{FF2B5EF4-FFF2-40B4-BE49-F238E27FC236}">
                <a16:creationId xmlns:a16="http://schemas.microsoft.com/office/drawing/2014/main" id="{6EE3D5F2-1613-54A6-CB76-3E3589A72F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47625</xdr:colOff>
      <xdr:row>37</xdr:row>
      <xdr:rowOff>38100</xdr:rowOff>
    </xdr:from>
    <xdr:to>
      <xdr:col>13</xdr:col>
      <xdr:colOff>266700</xdr:colOff>
      <xdr:row>37</xdr:row>
      <xdr:rowOff>165735</xdr:rowOff>
    </xdr:to>
    <xdr:grpSp>
      <xdr:nvGrpSpPr>
        <xdr:cNvPr id="36" name="Group 102">
          <a:extLst>
            <a:ext uri="{FF2B5EF4-FFF2-40B4-BE49-F238E27FC236}">
              <a16:creationId xmlns:a16="http://schemas.microsoft.com/office/drawing/2014/main" id="{6593BA1D-B24B-48BF-9F38-9FA44DE7E959}"/>
            </a:ext>
          </a:extLst>
        </xdr:cNvPr>
        <xdr:cNvGrpSpPr>
          <a:grpSpLocks/>
        </xdr:cNvGrpSpPr>
      </xdr:nvGrpSpPr>
      <xdr:grpSpPr bwMode="auto">
        <a:xfrm>
          <a:off x="10677525" y="6697980"/>
          <a:ext cx="219075" cy="127635"/>
          <a:chOff x="304" y="241"/>
          <a:chExt cx="29" cy="29"/>
        </a:xfrm>
      </xdr:grpSpPr>
      <xdr:sp macro="" textlink="">
        <xdr:nvSpPr>
          <xdr:cNvPr id="37" name="Oval 103">
            <a:extLst>
              <a:ext uri="{FF2B5EF4-FFF2-40B4-BE49-F238E27FC236}">
                <a16:creationId xmlns:a16="http://schemas.microsoft.com/office/drawing/2014/main" id="{9295BF8D-8058-73BA-53C6-20715BFBA8F6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" name="AutoShape 104">
            <a:extLst>
              <a:ext uri="{FF2B5EF4-FFF2-40B4-BE49-F238E27FC236}">
                <a16:creationId xmlns:a16="http://schemas.microsoft.com/office/drawing/2014/main" id="{07DC0DA0-3399-757B-6305-17E48B84FC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47625</xdr:colOff>
      <xdr:row>18</xdr:row>
      <xdr:rowOff>38100</xdr:rowOff>
    </xdr:from>
    <xdr:to>
      <xdr:col>13</xdr:col>
      <xdr:colOff>266700</xdr:colOff>
      <xdr:row>18</xdr:row>
      <xdr:rowOff>165735</xdr:rowOff>
    </xdr:to>
    <xdr:grpSp>
      <xdr:nvGrpSpPr>
        <xdr:cNvPr id="42" name="Group 102">
          <a:extLst>
            <a:ext uri="{FF2B5EF4-FFF2-40B4-BE49-F238E27FC236}">
              <a16:creationId xmlns:a16="http://schemas.microsoft.com/office/drawing/2014/main" id="{D96B396B-08DA-4BAD-8BEE-F59ED5028F42}"/>
            </a:ext>
          </a:extLst>
        </xdr:cNvPr>
        <xdr:cNvGrpSpPr>
          <a:grpSpLocks/>
        </xdr:cNvGrpSpPr>
      </xdr:nvGrpSpPr>
      <xdr:grpSpPr bwMode="auto">
        <a:xfrm>
          <a:off x="10677525" y="3314700"/>
          <a:ext cx="219075" cy="127635"/>
          <a:chOff x="304" y="241"/>
          <a:chExt cx="29" cy="29"/>
        </a:xfrm>
      </xdr:grpSpPr>
      <xdr:sp macro="" textlink="">
        <xdr:nvSpPr>
          <xdr:cNvPr id="43" name="Oval 103">
            <a:extLst>
              <a:ext uri="{FF2B5EF4-FFF2-40B4-BE49-F238E27FC236}">
                <a16:creationId xmlns:a16="http://schemas.microsoft.com/office/drawing/2014/main" id="{98A81831-D86F-541B-FE85-E1982D22F79E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4" name="AutoShape 104">
            <a:extLst>
              <a:ext uri="{FF2B5EF4-FFF2-40B4-BE49-F238E27FC236}">
                <a16:creationId xmlns:a16="http://schemas.microsoft.com/office/drawing/2014/main" id="{4A0F0FA8-5F26-6AA7-FBB5-D25F7918AF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47625</xdr:colOff>
      <xdr:row>36</xdr:row>
      <xdr:rowOff>38100</xdr:rowOff>
    </xdr:from>
    <xdr:to>
      <xdr:col>19</xdr:col>
      <xdr:colOff>266700</xdr:colOff>
      <xdr:row>36</xdr:row>
      <xdr:rowOff>165735</xdr:rowOff>
    </xdr:to>
    <xdr:grpSp>
      <xdr:nvGrpSpPr>
        <xdr:cNvPr id="45" name="Group 102">
          <a:extLst>
            <a:ext uri="{FF2B5EF4-FFF2-40B4-BE49-F238E27FC236}">
              <a16:creationId xmlns:a16="http://schemas.microsoft.com/office/drawing/2014/main" id="{811728EA-5210-4AAB-A8F5-8C12B92D0C62}"/>
            </a:ext>
          </a:extLst>
        </xdr:cNvPr>
        <xdr:cNvGrpSpPr>
          <a:grpSpLocks/>
        </xdr:cNvGrpSpPr>
      </xdr:nvGrpSpPr>
      <xdr:grpSpPr bwMode="auto">
        <a:xfrm>
          <a:off x="15714345" y="6477000"/>
          <a:ext cx="219075" cy="127635"/>
          <a:chOff x="304" y="241"/>
          <a:chExt cx="29" cy="29"/>
        </a:xfrm>
      </xdr:grpSpPr>
      <xdr:sp macro="" textlink="">
        <xdr:nvSpPr>
          <xdr:cNvPr id="46" name="Oval 103">
            <a:extLst>
              <a:ext uri="{FF2B5EF4-FFF2-40B4-BE49-F238E27FC236}">
                <a16:creationId xmlns:a16="http://schemas.microsoft.com/office/drawing/2014/main" id="{79BC6838-FCA3-40D5-8577-96B921FC797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7" name="AutoShape 104">
            <a:extLst>
              <a:ext uri="{FF2B5EF4-FFF2-40B4-BE49-F238E27FC236}">
                <a16:creationId xmlns:a16="http://schemas.microsoft.com/office/drawing/2014/main" id="{8B33EFFA-5176-8E04-CC2A-2FA0D16D8B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47625</xdr:colOff>
      <xdr:row>54</xdr:row>
      <xdr:rowOff>38100</xdr:rowOff>
    </xdr:from>
    <xdr:to>
      <xdr:col>19</xdr:col>
      <xdr:colOff>266700</xdr:colOff>
      <xdr:row>54</xdr:row>
      <xdr:rowOff>165735</xdr:rowOff>
    </xdr:to>
    <xdr:grpSp>
      <xdr:nvGrpSpPr>
        <xdr:cNvPr id="51" name="Group 102">
          <a:extLst>
            <a:ext uri="{FF2B5EF4-FFF2-40B4-BE49-F238E27FC236}">
              <a16:creationId xmlns:a16="http://schemas.microsoft.com/office/drawing/2014/main" id="{BDE5645C-46E7-42B1-8292-97558A232BF7}"/>
            </a:ext>
          </a:extLst>
        </xdr:cNvPr>
        <xdr:cNvGrpSpPr>
          <a:grpSpLocks/>
        </xdr:cNvGrpSpPr>
      </xdr:nvGrpSpPr>
      <xdr:grpSpPr bwMode="auto">
        <a:xfrm>
          <a:off x="15714345" y="9692640"/>
          <a:ext cx="219075" cy="127635"/>
          <a:chOff x="304" y="241"/>
          <a:chExt cx="29" cy="29"/>
        </a:xfrm>
      </xdr:grpSpPr>
      <xdr:sp macro="" textlink="">
        <xdr:nvSpPr>
          <xdr:cNvPr id="52" name="Oval 103">
            <a:extLst>
              <a:ext uri="{FF2B5EF4-FFF2-40B4-BE49-F238E27FC236}">
                <a16:creationId xmlns:a16="http://schemas.microsoft.com/office/drawing/2014/main" id="{44AB1DC1-D80E-B6B8-9DB4-7F35D53A2E0D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3" name="AutoShape 104">
            <a:extLst>
              <a:ext uri="{FF2B5EF4-FFF2-40B4-BE49-F238E27FC236}">
                <a16:creationId xmlns:a16="http://schemas.microsoft.com/office/drawing/2014/main" id="{9F449F46-3F6C-CA2B-7345-BD6EB744E3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19</xdr:col>
      <xdr:colOff>47625</xdr:colOff>
      <xdr:row>75</xdr:row>
      <xdr:rowOff>38100</xdr:rowOff>
    </xdr:from>
    <xdr:to>
      <xdr:col>19</xdr:col>
      <xdr:colOff>266700</xdr:colOff>
      <xdr:row>75</xdr:row>
      <xdr:rowOff>165735</xdr:rowOff>
    </xdr:to>
    <xdr:grpSp>
      <xdr:nvGrpSpPr>
        <xdr:cNvPr id="57" name="Group 102">
          <a:extLst>
            <a:ext uri="{FF2B5EF4-FFF2-40B4-BE49-F238E27FC236}">
              <a16:creationId xmlns:a16="http://schemas.microsoft.com/office/drawing/2014/main" id="{86816606-E2C3-4519-AD93-823A1A7C6F4B}"/>
            </a:ext>
          </a:extLst>
        </xdr:cNvPr>
        <xdr:cNvGrpSpPr>
          <a:grpSpLocks/>
        </xdr:cNvGrpSpPr>
      </xdr:nvGrpSpPr>
      <xdr:grpSpPr bwMode="auto">
        <a:xfrm>
          <a:off x="15714345" y="13601700"/>
          <a:ext cx="219075" cy="127635"/>
          <a:chOff x="304" y="241"/>
          <a:chExt cx="29" cy="29"/>
        </a:xfrm>
      </xdr:grpSpPr>
      <xdr:sp macro="" textlink="">
        <xdr:nvSpPr>
          <xdr:cNvPr id="58" name="Oval 103">
            <a:extLst>
              <a:ext uri="{FF2B5EF4-FFF2-40B4-BE49-F238E27FC236}">
                <a16:creationId xmlns:a16="http://schemas.microsoft.com/office/drawing/2014/main" id="{72511C4F-AAAB-49EF-341F-172771F71453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9" name="AutoShape 104">
            <a:extLst>
              <a:ext uri="{FF2B5EF4-FFF2-40B4-BE49-F238E27FC236}">
                <a16:creationId xmlns:a16="http://schemas.microsoft.com/office/drawing/2014/main" id="{431EBCA5-2C98-8B28-1961-0D060A3EDB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47625</xdr:colOff>
      <xdr:row>54</xdr:row>
      <xdr:rowOff>38100</xdr:rowOff>
    </xdr:from>
    <xdr:to>
      <xdr:col>13</xdr:col>
      <xdr:colOff>266700</xdr:colOff>
      <xdr:row>54</xdr:row>
      <xdr:rowOff>165735</xdr:rowOff>
    </xdr:to>
    <xdr:grpSp>
      <xdr:nvGrpSpPr>
        <xdr:cNvPr id="66" name="Group 102">
          <a:extLst>
            <a:ext uri="{FF2B5EF4-FFF2-40B4-BE49-F238E27FC236}">
              <a16:creationId xmlns:a16="http://schemas.microsoft.com/office/drawing/2014/main" id="{7142019C-2EB8-47C9-8E7C-9041A9BB8B0E}"/>
            </a:ext>
          </a:extLst>
        </xdr:cNvPr>
        <xdr:cNvGrpSpPr>
          <a:grpSpLocks/>
        </xdr:cNvGrpSpPr>
      </xdr:nvGrpSpPr>
      <xdr:grpSpPr bwMode="auto">
        <a:xfrm>
          <a:off x="10677525" y="9692640"/>
          <a:ext cx="219075" cy="127635"/>
          <a:chOff x="304" y="241"/>
          <a:chExt cx="29" cy="29"/>
        </a:xfrm>
      </xdr:grpSpPr>
      <xdr:sp macro="" textlink="">
        <xdr:nvSpPr>
          <xdr:cNvPr id="67" name="Oval 103">
            <a:extLst>
              <a:ext uri="{FF2B5EF4-FFF2-40B4-BE49-F238E27FC236}">
                <a16:creationId xmlns:a16="http://schemas.microsoft.com/office/drawing/2014/main" id="{62851DA6-BEB2-FEFB-98DB-16B51A03744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8" name="AutoShape 104">
            <a:extLst>
              <a:ext uri="{FF2B5EF4-FFF2-40B4-BE49-F238E27FC236}">
                <a16:creationId xmlns:a16="http://schemas.microsoft.com/office/drawing/2014/main" id="{E14C2326-8A36-3B54-2FD3-4807D8B0C6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47625</xdr:colOff>
      <xdr:row>75</xdr:row>
      <xdr:rowOff>38100</xdr:rowOff>
    </xdr:from>
    <xdr:to>
      <xdr:col>13</xdr:col>
      <xdr:colOff>266700</xdr:colOff>
      <xdr:row>75</xdr:row>
      <xdr:rowOff>165735</xdr:rowOff>
    </xdr:to>
    <xdr:grpSp>
      <xdr:nvGrpSpPr>
        <xdr:cNvPr id="72" name="Group 102">
          <a:extLst>
            <a:ext uri="{FF2B5EF4-FFF2-40B4-BE49-F238E27FC236}">
              <a16:creationId xmlns:a16="http://schemas.microsoft.com/office/drawing/2014/main" id="{36031BB9-4FA6-45C8-9804-9877048B4D8E}"/>
            </a:ext>
          </a:extLst>
        </xdr:cNvPr>
        <xdr:cNvGrpSpPr>
          <a:grpSpLocks/>
        </xdr:cNvGrpSpPr>
      </xdr:nvGrpSpPr>
      <xdr:grpSpPr bwMode="auto">
        <a:xfrm>
          <a:off x="10677525" y="13601700"/>
          <a:ext cx="219075" cy="127635"/>
          <a:chOff x="304" y="241"/>
          <a:chExt cx="29" cy="29"/>
        </a:xfrm>
      </xdr:grpSpPr>
      <xdr:sp macro="" textlink="">
        <xdr:nvSpPr>
          <xdr:cNvPr id="73" name="Oval 103">
            <a:extLst>
              <a:ext uri="{FF2B5EF4-FFF2-40B4-BE49-F238E27FC236}">
                <a16:creationId xmlns:a16="http://schemas.microsoft.com/office/drawing/2014/main" id="{95D31140-42C2-36DE-A30C-73B4BC17006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4" name="AutoShape 104">
            <a:extLst>
              <a:ext uri="{FF2B5EF4-FFF2-40B4-BE49-F238E27FC236}">
                <a16:creationId xmlns:a16="http://schemas.microsoft.com/office/drawing/2014/main" id="{7F04444C-D337-9E91-3FEC-9C24F60196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</xdr:col>
      <xdr:colOff>47625</xdr:colOff>
      <xdr:row>54</xdr:row>
      <xdr:rowOff>38100</xdr:rowOff>
    </xdr:from>
    <xdr:to>
      <xdr:col>8</xdr:col>
      <xdr:colOff>266700</xdr:colOff>
      <xdr:row>54</xdr:row>
      <xdr:rowOff>165735</xdr:rowOff>
    </xdr:to>
    <xdr:grpSp>
      <xdr:nvGrpSpPr>
        <xdr:cNvPr id="78" name="Group 102">
          <a:extLst>
            <a:ext uri="{FF2B5EF4-FFF2-40B4-BE49-F238E27FC236}">
              <a16:creationId xmlns:a16="http://schemas.microsoft.com/office/drawing/2014/main" id="{077E2EE0-17CE-42A6-B37A-3EBB2199D7B0}"/>
            </a:ext>
          </a:extLst>
        </xdr:cNvPr>
        <xdr:cNvGrpSpPr>
          <a:grpSpLocks/>
        </xdr:cNvGrpSpPr>
      </xdr:nvGrpSpPr>
      <xdr:grpSpPr bwMode="auto">
        <a:xfrm>
          <a:off x="6387465" y="9692640"/>
          <a:ext cx="219075" cy="127635"/>
          <a:chOff x="304" y="241"/>
          <a:chExt cx="29" cy="29"/>
        </a:xfrm>
      </xdr:grpSpPr>
      <xdr:sp macro="" textlink="">
        <xdr:nvSpPr>
          <xdr:cNvPr id="79" name="Oval 103">
            <a:extLst>
              <a:ext uri="{FF2B5EF4-FFF2-40B4-BE49-F238E27FC236}">
                <a16:creationId xmlns:a16="http://schemas.microsoft.com/office/drawing/2014/main" id="{78920F73-BC85-33DD-6227-BB7376F4FBE1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0" name="AutoShape 104">
            <a:extLst>
              <a:ext uri="{FF2B5EF4-FFF2-40B4-BE49-F238E27FC236}">
                <a16:creationId xmlns:a16="http://schemas.microsoft.com/office/drawing/2014/main" id="{427762E8-FB27-666E-DBF6-95EA6EA9DE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</xdr:col>
      <xdr:colOff>47625</xdr:colOff>
      <xdr:row>75</xdr:row>
      <xdr:rowOff>38100</xdr:rowOff>
    </xdr:from>
    <xdr:to>
      <xdr:col>8</xdr:col>
      <xdr:colOff>266700</xdr:colOff>
      <xdr:row>75</xdr:row>
      <xdr:rowOff>165735</xdr:rowOff>
    </xdr:to>
    <xdr:grpSp>
      <xdr:nvGrpSpPr>
        <xdr:cNvPr id="81" name="Group 102">
          <a:extLst>
            <a:ext uri="{FF2B5EF4-FFF2-40B4-BE49-F238E27FC236}">
              <a16:creationId xmlns:a16="http://schemas.microsoft.com/office/drawing/2014/main" id="{6E81846F-4A58-45E0-8BDA-B87CEAA5A774}"/>
            </a:ext>
          </a:extLst>
        </xdr:cNvPr>
        <xdr:cNvGrpSpPr>
          <a:grpSpLocks/>
        </xdr:cNvGrpSpPr>
      </xdr:nvGrpSpPr>
      <xdr:grpSpPr bwMode="auto">
        <a:xfrm>
          <a:off x="6387465" y="13601700"/>
          <a:ext cx="219075" cy="127635"/>
          <a:chOff x="304" y="241"/>
          <a:chExt cx="29" cy="29"/>
        </a:xfrm>
      </xdr:grpSpPr>
      <xdr:sp macro="" textlink="">
        <xdr:nvSpPr>
          <xdr:cNvPr id="82" name="Oval 103">
            <a:extLst>
              <a:ext uri="{FF2B5EF4-FFF2-40B4-BE49-F238E27FC236}">
                <a16:creationId xmlns:a16="http://schemas.microsoft.com/office/drawing/2014/main" id="{B1D92C44-84A0-135A-DABF-FE660B7BEE3F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3" name="AutoShape 104">
            <a:extLst>
              <a:ext uri="{FF2B5EF4-FFF2-40B4-BE49-F238E27FC236}">
                <a16:creationId xmlns:a16="http://schemas.microsoft.com/office/drawing/2014/main" id="{356ACFE1-B8F3-DEC3-EB73-91F7148F18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</xdr:col>
      <xdr:colOff>47625</xdr:colOff>
      <xdr:row>37</xdr:row>
      <xdr:rowOff>38100</xdr:rowOff>
    </xdr:from>
    <xdr:to>
      <xdr:col>8</xdr:col>
      <xdr:colOff>266700</xdr:colOff>
      <xdr:row>37</xdr:row>
      <xdr:rowOff>165735</xdr:rowOff>
    </xdr:to>
    <xdr:grpSp>
      <xdr:nvGrpSpPr>
        <xdr:cNvPr id="84" name="Group 102">
          <a:extLst>
            <a:ext uri="{FF2B5EF4-FFF2-40B4-BE49-F238E27FC236}">
              <a16:creationId xmlns:a16="http://schemas.microsoft.com/office/drawing/2014/main" id="{404ED787-8C85-4889-A278-A9B59B6C85A3}"/>
            </a:ext>
          </a:extLst>
        </xdr:cNvPr>
        <xdr:cNvGrpSpPr>
          <a:grpSpLocks/>
        </xdr:cNvGrpSpPr>
      </xdr:nvGrpSpPr>
      <xdr:grpSpPr bwMode="auto">
        <a:xfrm>
          <a:off x="6387465" y="6697980"/>
          <a:ext cx="219075" cy="127635"/>
          <a:chOff x="304" y="241"/>
          <a:chExt cx="29" cy="29"/>
        </a:xfrm>
      </xdr:grpSpPr>
      <xdr:sp macro="" textlink="">
        <xdr:nvSpPr>
          <xdr:cNvPr id="85" name="Oval 103">
            <a:extLst>
              <a:ext uri="{FF2B5EF4-FFF2-40B4-BE49-F238E27FC236}">
                <a16:creationId xmlns:a16="http://schemas.microsoft.com/office/drawing/2014/main" id="{88A7E1F1-B048-5E7B-A506-D8FB546C4B6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6" name="AutoShape 104">
            <a:extLst>
              <a:ext uri="{FF2B5EF4-FFF2-40B4-BE49-F238E27FC236}">
                <a16:creationId xmlns:a16="http://schemas.microsoft.com/office/drawing/2014/main" id="{5531B9D4-59E0-E74B-AEDF-8C917B04D5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47625</xdr:colOff>
      <xdr:row>37</xdr:row>
      <xdr:rowOff>38100</xdr:rowOff>
    </xdr:from>
    <xdr:to>
      <xdr:col>3</xdr:col>
      <xdr:colOff>266700</xdr:colOff>
      <xdr:row>37</xdr:row>
      <xdr:rowOff>165735</xdr:rowOff>
    </xdr:to>
    <xdr:grpSp>
      <xdr:nvGrpSpPr>
        <xdr:cNvPr id="87" name="Group 102">
          <a:extLst>
            <a:ext uri="{FF2B5EF4-FFF2-40B4-BE49-F238E27FC236}">
              <a16:creationId xmlns:a16="http://schemas.microsoft.com/office/drawing/2014/main" id="{355E3DCB-5C4B-4D67-872E-AD3C97DF632A}"/>
            </a:ext>
          </a:extLst>
        </xdr:cNvPr>
        <xdr:cNvGrpSpPr>
          <a:grpSpLocks/>
        </xdr:cNvGrpSpPr>
      </xdr:nvGrpSpPr>
      <xdr:grpSpPr bwMode="auto">
        <a:xfrm>
          <a:off x="2425065" y="6697980"/>
          <a:ext cx="219075" cy="127635"/>
          <a:chOff x="304" y="241"/>
          <a:chExt cx="29" cy="29"/>
        </a:xfrm>
      </xdr:grpSpPr>
      <xdr:sp macro="" textlink="">
        <xdr:nvSpPr>
          <xdr:cNvPr id="88" name="Oval 103">
            <a:extLst>
              <a:ext uri="{FF2B5EF4-FFF2-40B4-BE49-F238E27FC236}">
                <a16:creationId xmlns:a16="http://schemas.microsoft.com/office/drawing/2014/main" id="{B587FACE-B6E4-BDB5-E68F-9E9EC4CA499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9" name="AutoShape 104">
            <a:extLst>
              <a:ext uri="{FF2B5EF4-FFF2-40B4-BE49-F238E27FC236}">
                <a16:creationId xmlns:a16="http://schemas.microsoft.com/office/drawing/2014/main" id="{F9180498-9B2B-24E8-7FAE-D05ADCEA8B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</xdr:col>
      <xdr:colOff>47625</xdr:colOff>
      <xdr:row>18</xdr:row>
      <xdr:rowOff>38100</xdr:rowOff>
    </xdr:from>
    <xdr:to>
      <xdr:col>8</xdr:col>
      <xdr:colOff>266700</xdr:colOff>
      <xdr:row>18</xdr:row>
      <xdr:rowOff>165735</xdr:rowOff>
    </xdr:to>
    <xdr:grpSp>
      <xdr:nvGrpSpPr>
        <xdr:cNvPr id="90" name="Group 102">
          <a:extLst>
            <a:ext uri="{FF2B5EF4-FFF2-40B4-BE49-F238E27FC236}">
              <a16:creationId xmlns:a16="http://schemas.microsoft.com/office/drawing/2014/main" id="{B77D0F9A-B34E-43AC-8165-36EFEAE6232B}"/>
            </a:ext>
          </a:extLst>
        </xdr:cNvPr>
        <xdr:cNvGrpSpPr>
          <a:grpSpLocks/>
        </xdr:cNvGrpSpPr>
      </xdr:nvGrpSpPr>
      <xdr:grpSpPr bwMode="auto">
        <a:xfrm>
          <a:off x="6387465" y="3314700"/>
          <a:ext cx="219075" cy="127635"/>
          <a:chOff x="304" y="241"/>
          <a:chExt cx="29" cy="29"/>
        </a:xfrm>
      </xdr:grpSpPr>
      <xdr:sp macro="" textlink="">
        <xdr:nvSpPr>
          <xdr:cNvPr id="91" name="Oval 103">
            <a:extLst>
              <a:ext uri="{FF2B5EF4-FFF2-40B4-BE49-F238E27FC236}">
                <a16:creationId xmlns:a16="http://schemas.microsoft.com/office/drawing/2014/main" id="{E8A8FD49-C92A-B136-AB42-7919840A739C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2" name="AutoShape 104">
            <a:extLst>
              <a:ext uri="{FF2B5EF4-FFF2-40B4-BE49-F238E27FC236}">
                <a16:creationId xmlns:a16="http://schemas.microsoft.com/office/drawing/2014/main" id="{01AB6094-7845-45C9-BF51-5B7AC9702B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47625</xdr:colOff>
      <xdr:row>18</xdr:row>
      <xdr:rowOff>38100</xdr:rowOff>
    </xdr:from>
    <xdr:to>
      <xdr:col>3</xdr:col>
      <xdr:colOff>266700</xdr:colOff>
      <xdr:row>18</xdr:row>
      <xdr:rowOff>165735</xdr:rowOff>
    </xdr:to>
    <xdr:grpSp>
      <xdr:nvGrpSpPr>
        <xdr:cNvPr id="93" name="Group 102">
          <a:extLst>
            <a:ext uri="{FF2B5EF4-FFF2-40B4-BE49-F238E27FC236}">
              <a16:creationId xmlns:a16="http://schemas.microsoft.com/office/drawing/2014/main" id="{BFF37248-BE28-4476-94EB-B5843FFBEFB4}"/>
            </a:ext>
          </a:extLst>
        </xdr:cNvPr>
        <xdr:cNvGrpSpPr>
          <a:grpSpLocks/>
        </xdr:cNvGrpSpPr>
      </xdr:nvGrpSpPr>
      <xdr:grpSpPr bwMode="auto">
        <a:xfrm>
          <a:off x="2425065" y="3314700"/>
          <a:ext cx="219075" cy="127635"/>
          <a:chOff x="304" y="241"/>
          <a:chExt cx="29" cy="29"/>
        </a:xfrm>
      </xdr:grpSpPr>
      <xdr:sp macro="" textlink="">
        <xdr:nvSpPr>
          <xdr:cNvPr id="94" name="Oval 103">
            <a:extLst>
              <a:ext uri="{FF2B5EF4-FFF2-40B4-BE49-F238E27FC236}">
                <a16:creationId xmlns:a16="http://schemas.microsoft.com/office/drawing/2014/main" id="{D275F6C2-A34E-EB96-98A2-8DAA0BDCBC07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5" name="AutoShape 104">
            <a:extLst>
              <a:ext uri="{FF2B5EF4-FFF2-40B4-BE49-F238E27FC236}">
                <a16:creationId xmlns:a16="http://schemas.microsoft.com/office/drawing/2014/main" id="{3068DC07-92CB-1D44-3294-525869491F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21</xdr:col>
      <xdr:colOff>30480</xdr:colOff>
      <xdr:row>21</xdr:row>
      <xdr:rowOff>0</xdr:rowOff>
    </xdr:from>
    <xdr:to>
      <xdr:col>27</xdr:col>
      <xdr:colOff>53340</xdr:colOff>
      <xdr:row>22</xdr:row>
      <xdr:rowOff>22859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B3CE46C5-0745-4752-B935-ED5849148424}"/>
            </a:ext>
          </a:extLst>
        </xdr:cNvPr>
        <xdr:cNvSpPr>
          <a:spLocks noChangeArrowheads="1"/>
        </xdr:cNvSpPr>
      </xdr:nvSpPr>
      <xdr:spPr bwMode="auto">
        <a:xfrm>
          <a:off x="17282160" y="3642360"/>
          <a:ext cx="4777740" cy="190499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22</xdr:col>
      <xdr:colOff>30480</xdr:colOff>
      <xdr:row>38</xdr:row>
      <xdr:rowOff>167641</xdr:rowOff>
    </xdr:from>
    <xdr:to>
      <xdr:col>27</xdr:col>
      <xdr:colOff>68580</xdr:colOff>
      <xdr:row>39</xdr:row>
      <xdr:rowOff>129541</xdr:rowOff>
    </xdr:to>
    <xdr:sp macro="" textlink="">
      <xdr:nvSpPr>
        <xdr:cNvPr id="98" name="AutoShape 2">
          <a:extLst>
            <a:ext uri="{FF2B5EF4-FFF2-40B4-BE49-F238E27FC236}">
              <a16:creationId xmlns:a16="http://schemas.microsoft.com/office/drawing/2014/main" id="{DF2C3BDC-4867-4E88-8120-23D4BD962869}"/>
            </a:ext>
          </a:extLst>
        </xdr:cNvPr>
        <xdr:cNvSpPr>
          <a:spLocks noChangeArrowheads="1"/>
        </xdr:cNvSpPr>
      </xdr:nvSpPr>
      <xdr:spPr bwMode="auto">
        <a:xfrm>
          <a:off x="18074640" y="5676901"/>
          <a:ext cx="4000500" cy="1371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20</xdr:col>
      <xdr:colOff>496957</xdr:colOff>
      <xdr:row>66</xdr:row>
      <xdr:rowOff>162929</xdr:rowOff>
    </xdr:from>
    <xdr:to>
      <xdr:col>24</xdr:col>
      <xdr:colOff>191227</xdr:colOff>
      <xdr:row>67</xdr:row>
      <xdr:rowOff>137749</xdr:rowOff>
    </xdr:to>
    <xdr:sp macro="" textlink="">
      <xdr:nvSpPr>
        <xdr:cNvPr id="99" name="AutoShape 2">
          <a:extLst>
            <a:ext uri="{FF2B5EF4-FFF2-40B4-BE49-F238E27FC236}">
              <a16:creationId xmlns:a16="http://schemas.microsoft.com/office/drawing/2014/main" id="{F8C6C690-5AC9-4FDF-9F83-CEA1B93269DF}"/>
            </a:ext>
          </a:extLst>
        </xdr:cNvPr>
        <xdr:cNvSpPr>
          <a:spLocks noChangeArrowheads="1"/>
        </xdr:cNvSpPr>
      </xdr:nvSpPr>
      <xdr:spPr bwMode="auto">
        <a:xfrm rot="2534667">
          <a:off x="16956157" y="10518509"/>
          <a:ext cx="2864190" cy="1424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0</xdr:colOff>
      <xdr:row>78</xdr:row>
      <xdr:rowOff>0</xdr:rowOff>
    </xdr:from>
    <xdr:to>
      <xdr:col>23</xdr:col>
      <xdr:colOff>617220</xdr:colOff>
      <xdr:row>78</xdr:row>
      <xdr:rowOff>160020</xdr:rowOff>
    </xdr:to>
    <xdr:sp macro="" textlink="">
      <xdr:nvSpPr>
        <xdr:cNvPr id="101" name="AutoShape 2">
          <a:extLst>
            <a:ext uri="{FF2B5EF4-FFF2-40B4-BE49-F238E27FC236}">
              <a16:creationId xmlns:a16="http://schemas.microsoft.com/office/drawing/2014/main" id="{132B3C39-BE63-4611-8B0B-9366823B22AB}"/>
            </a:ext>
          </a:extLst>
        </xdr:cNvPr>
        <xdr:cNvSpPr>
          <a:spLocks noChangeArrowheads="1"/>
        </xdr:cNvSpPr>
      </xdr:nvSpPr>
      <xdr:spPr bwMode="auto">
        <a:xfrm>
          <a:off x="17251680" y="12748260"/>
          <a:ext cx="2202180" cy="16002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0</xdr:colOff>
      <xdr:row>78</xdr:row>
      <xdr:rowOff>0</xdr:rowOff>
    </xdr:from>
    <xdr:to>
      <xdr:col>12</xdr:col>
      <xdr:colOff>762000</xdr:colOff>
      <xdr:row>79</xdr:row>
      <xdr:rowOff>53340</xdr:rowOff>
    </xdr:to>
    <xdr:sp macro="" textlink="">
      <xdr:nvSpPr>
        <xdr:cNvPr id="102" name="AutoShape 33">
          <a:extLst>
            <a:ext uri="{FF2B5EF4-FFF2-40B4-BE49-F238E27FC236}">
              <a16:creationId xmlns:a16="http://schemas.microsoft.com/office/drawing/2014/main" id="{2DCF46D0-1678-421D-8A3C-88B3D11F0124}"/>
            </a:ext>
          </a:extLst>
        </xdr:cNvPr>
        <xdr:cNvSpPr>
          <a:spLocks noChangeArrowheads="1"/>
        </xdr:cNvSpPr>
      </xdr:nvSpPr>
      <xdr:spPr bwMode="auto">
        <a:xfrm>
          <a:off x="8252460" y="12748260"/>
          <a:ext cx="2346960" cy="22098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15</xdr:col>
      <xdr:colOff>0</xdr:colOff>
      <xdr:row>77</xdr:row>
      <xdr:rowOff>144780</xdr:rowOff>
    </xdr:from>
    <xdr:to>
      <xdr:col>18</xdr:col>
      <xdr:colOff>739140</xdr:colOff>
      <xdr:row>79</xdr:row>
      <xdr:rowOff>22860</xdr:rowOff>
    </xdr:to>
    <xdr:sp macro="" textlink="">
      <xdr:nvSpPr>
        <xdr:cNvPr id="103" name="AutoShape 33">
          <a:extLst>
            <a:ext uri="{FF2B5EF4-FFF2-40B4-BE49-F238E27FC236}">
              <a16:creationId xmlns:a16="http://schemas.microsoft.com/office/drawing/2014/main" id="{C84ECB02-7FBE-4501-BD2B-3B99AB0E0241}"/>
            </a:ext>
          </a:extLst>
        </xdr:cNvPr>
        <xdr:cNvSpPr>
          <a:spLocks noChangeArrowheads="1"/>
        </xdr:cNvSpPr>
      </xdr:nvSpPr>
      <xdr:spPr bwMode="auto">
        <a:xfrm>
          <a:off x="12496800" y="12725400"/>
          <a:ext cx="3116580" cy="21336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0</xdr:colOff>
      <xdr:row>57</xdr:row>
      <xdr:rowOff>0</xdr:rowOff>
    </xdr:from>
    <xdr:to>
      <xdr:col>12</xdr:col>
      <xdr:colOff>754380</xdr:colOff>
      <xdr:row>58</xdr:row>
      <xdr:rowOff>76200</xdr:rowOff>
    </xdr:to>
    <xdr:sp macro="" textlink="">
      <xdr:nvSpPr>
        <xdr:cNvPr id="104" name="AutoShape 33">
          <a:extLst>
            <a:ext uri="{FF2B5EF4-FFF2-40B4-BE49-F238E27FC236}">
              <a16:creationId xmlns:a16="http://schemas.microsoft.com/office/drawing/2014/main" id="{05795964-654D-4AFE-AD74-3AD8D4264BFF}"/>
            </a:ext>
          </a:extLst>
        </xdr:cNvPr>
        <xdr:cNvSpPr>
          <a:spLocks noChangeArrowheads="1"/>
        </xdr:cNvSpPr>
      </xdr:nvSpPr>
      <xdr:spPr bwMode="auto">
        <a:xfrm>
          <a:off x="8252460" y="8839200"/>
          <a:ext cx="2339340" cy="24384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15</xdr:col>
      <xdr:colOff>0</xdr:colOff>
      <xdr:row>57</xdr:row>
      <xdr:rowOff>0</xdr:rowOff>
    </xdr:from>
    <xdr:to>
      <xdr:col>18</xdr:col>
      <xdr:colOff>716280</xdr:colOff>
      <xdr:row>58</xdr:row>
      <xdr:rowOff>30480</xdr:rowOff>
    </xdr:to>
    <xdr:sp macro="" textlink="">
      <xdr:nvSpPr>
        <xdr:cNvPr id="105" name="AutoShape 33">
          <a:extLst>
            <a:ext uri="{FF2B5EF4-FFF2-40B4-BE49-F238E27FC236}">
              <a16:creationId xmlns:a16="http://schemas.microsoft.com/office/drawing/2014/main" id="{4D5CE882-4CE0-4A66-8EEF-2536C804ACAC}"/>
            </a:ext>
          </a:extLst>
        </xdr:cNvPr>
        <xdr:cNvSpPr>
          <a:spLocks noChangeArrowheads="1"/>
        </xdr:cNvSpPr>
      </xdr:nvSpPr>
      <xdr:spPr bwMode="auto">
        <a:xfrm>
          <a:off x="12496800" y="8839200"/>
          <a:ext cx="3093720" cy="19812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0</xdr:colOff>
      <xdr:row>40</xdr:row>
      <xdr:rowOff>0</xdr:rowOff>
    </xdr:from>
    <xdr:to>
      <xdr:col>12</xdr:col>
      <xdr:colOff>685800</xdr:colOff>
      <xdr:row>41</xdr:row>
      <xdr:rowOff>0</xdr:rowOff>
    </xdr:to>
    <xdr:sp macro="" textlink="">
      <xdr:nvSpPr>
        <xdr:cNvPr id="106" name="AutoShape 33">
          <a:extLst>
            <a:ext uri="{FF2B5EF4-FFF2-40B4-BE49-F238E27FC236}">
              <a16:creationId xmlns:a16="http://schemas.microsoft.com/office/drawing/2014/main" id="{DC7B639E-2940-4CB2-9531-A4A92BFE3870}"/>
            </a:ext>
          </a:extLst>
        </xdr:cNvPr>
        <xdr:cNvSpPr>
          <a:spLocks noChangeArrowheads="1"/>
        </xdr:cNvSpPr>
      </xdr:nvSpPr>
      <xdr:spPr bwMode="auto">
        <a:xfrm>
          <a:off x="8252460" y="5852160"/>
          <a:ext cx="2270760" cy="16764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15</xdr:col>
      <xdr:colOff>0</xdr:colOff>
      <xdr:row>40</xdr:row>
      <xdr:rowOff>0</xdr:rowOff>
    </xdr:from>
    <xdr:to>
      <xdr:col>18</xdr:col>
      <xdr:colOff>678180</xdr:colOff>
      <xdr:row>41</xdr:row>
      <xdr:rowOff>53340</xdr:rowOff>
    </xdr:to>
    <xdr:sp macro="" textlink="">
      <xdr:nvSpPr>
        <xdr:cNvPr id="108" name="AutoShape 33">
          <a:extLst>
            <a:ext uri="{FF2B5EF4-FFF2-40B4-BE49-F238E27FC236}">
              <a16:creationId xmlns:a16="http://schemas.microsoft.com/office/drawing/2014/main" id="{D9E8DDB1-6C36-4B1D-877C-5337A658D208}"/>
            </a:ext>
          </a:extLst>
        </xdr:cNvPr>
        <xdr:cNvSpPr>
          <a:spLocks noChangeArrowheads="1"/>
        </xdr:cNvSpPr>
      </xdr:nvSpPr>
      <xdr:spPr bwMode="auto">
        <a:xfrm>
          <a:off x="12496800" y="5852160"/>
          <a:ext cx="3055620" cy="22098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11</xdr:col>
      <xdr:colOff>160020</xdr:colOff>
      <xdr:row>58</xdr:row>
      <xdr:rowOff>160020</xdr:rowOff>
    </xdr:from>
    <xdr:to>
      <xdr:col>11</xdr:col>
      <xdr:colOff>521970</xdr:colOff>
      <xdr:row>60</xdr:row>
      <xdr:rowOff>34290</xdr:rowOff>
    </xdr:to>
    <xdr:grpSp>
      <xdr:nvGrpSpPr>
        <xdr:cNvPr id="114" name="Group 60">
          <a:extLst>
            <a:ext uri="{FF2B5EF4-FFF2-40B4-BE49-F238E27FC236}">
              <a16:creationId xmlns:a16="http://schemas.microsoft.com/office/drawing/2014/main" id="{D44FEAD8-5382-4955-804E-C5EEAFE48315}"/>
            </a:ext>
          </a:extLst>
        </xdr:cNvPr>
        <xdr:cNvGrpSpPr>
          <a:grpSpLocks/>
        </xdr:cNvGrpSpPr>
      </xdr:nvGrpSpPr>
      <xdr:grpSpPr bwMode="auto">
        <a:xfrm>
          <a:off x="9204960" y="10546080"/>
          <a:ext cx="361950" cy="209550"/>
          <a:chOff x="1860" y="222"/>
          <a:chExt cx="159" cy="139"/>
        </a:xfrm>
      </xdr:grpSpPr>
      <xdr:sp macro="" textlink="">
        <xdr:nvSpPr>
          <xdr:cNvPr id="115" name="AutoShape 61">
            <a:extLst>
              <a:ext uri="{FF2B5EF4-FFF2-40B4-BE49-F238E27FC236}">
                <a16:creationId xmlns:a16="http://schemas.microsoft.com/office/drawing/2014/main" id="{4FE412DF-1289-1B78-661A-99045C52F471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6" name="Line 62">
            <a:extLst>
              <a:ext uri="{FF2B5EF4-FFF2-40B4-BE49-F238E27FC236}">
                <a16:creationId xmlns:a16="http://schemas.microsoft.com/office/drawing/2014/main" id="{F6165A63-2FBB-FE6C-4EB5-F90CB4A34B0B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7" name="Line 63">
            <a:extLst>
              <a:ext uri="{FF2B5EF4-FFF2-40B4-BE49-F238E27FC236}">
                <a16:creationId xmlns:a16="http://schemas.microsoft.com/office/drawing/2014/main" id="{41B5D5BA-718E-BAFE-85E2-34047AB9F37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18" name="Line 64">
            <a:extLst>
              <a:ext uri="{FF2B5EF4-FFF2-40B4-BE49-F238E27FC236}">
                <a16:creationId xmlns:a16="http://schemas.microsoft.com/office/drawing/2014/main" id="{9C8BE0FF-883A-342E-C0EA-87A60EE1C35A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361950</xdr:colOff>
      <xdr:row>43</xdr:row>
      <xdr:rowOff>41910</xdr:rowOff>
    </xdr:to>
    <xdr:grpSp>
      <xdr:nvGrpSpPr>
        <xdr:cNvPr id="124" name="Group 60">
          <a:extLst>
            <a:ext uri="{FF2B5EF4-FFF2-40B4-BE49-F238E27FC236}">
              <a16:creationId xmlns:a16="http://schemas.microsoft.com/office/drawing/2014/main" id="{5BEB20A9-0E4B-48D4-BE67-C16AAA230E78}"/>
            </a:ext>
          </a:extLst>
        </xdr:cNvPr>
        <xdr:cNvGrpSpPr>
          <a:grpSpLocks/>
        </xdr:cNvGrpSpPr>
      </xdr:nvGrpSpPr>
      <xdr:grpSpPr bwMode="auto">
        <a:xfrm>
          <a:off x="9044940" y="7566660"/>
          <a:ext cx="361950" cy="209550"/>
          <a:chOff x="1860" y="222"/>
          <a:chExt cx="159" cy="139"/>
        </a:xfrm>
      </xdr:grpSpPr>
      <xdr:sp macro="" textlink="">
        <xdr:nvSpPr>
          <xdr:cNvPr id="125" name="AutoShape 61">
            <a:extLst>
              <a:ext uri="{FF2B5EF4-FFF2-40B4-BE49-F238E27FC236}">
                <a16:creationId xmlns:a16="http://schemas.microsoft.com/office/drawing/2014/main" id="{5C72DECF-272D-816C-AA4F-83AF9FAA1B55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6" name="Line 62">
            <a:extLst>
              <a:ext uri="{FF2B5EF4-FFF2-40B4-BE49-F238E27FC236}">
                <a16:creationId xmlns:a16="http://schemas.microsoft.com/office/drawing/2014/main" id="{14404AF3-486B-090B-3427-C9A76B086E55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7" name="Line 63">
            <a:extLst>
              <a:ext uri="{FF2B5EF4-FFF2-40B4-BE49-F238E27FC236}">
                <a16:creationId xmlns:a16="http://schemas.microsoft.com/office/drawing/2014/main" id="{A596C5B2-85F5-FC26-9861-99B78F2CC90F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8" name="Line 64">
            <a:extLst>
              <a:ext uri="{FF2B5EF4-FFF2-40B4-BE49-F238E27FC236}">
                <a16:creationId xmlns:a16="http://schemas.microsoft.com/office/drawing/2014/main" id="{61566DEA-8A4B-4D1F-C86A-365FAF76B00C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289560</xdr:colOff>
      <xdr:row>42</xdr:row>
      <xdr:rowOff>15240</xdr:rowOff>
    </xdr:from>
    <xdr:to>
      <xdr:col>16</xdr:col>
      <xdr:colOff>651510</xdr:colOff>
      <xdr:row>43</xdr:row>
      <xdr:rowOff>57150</xdr:rowOff>
    </xdr:to>
    <xdr:grpSp>
      <xdr:nvGrpSpPr>
        <xdr:cNvPr id="134" name="Group 60">
          <a:extLst>
            <a:ext uri="{FF2B5EF4-FFF2-40B4-BE49-F238E27FC236}">
              <a16:creationId xmlns:a16="http://schemas.microsoft.com/office/drawing/2014/main" id="{408EEDD6-4E59-4C92-B786-01D367A01807}"/>
            </a:ext>
          </a:extLst>
        </xdr:cNvPr>
        <xdr:cNvGrpSpPr>
          <a:grpSpLocks/>
        </xdr:cNvGrpSpPr>
      </xdr:nvGrpSpPr>
      <xdr:grpSpPr bwMode="auto">
        <a:xfrm>
          <a:off x="13578840" y="7581900"/>
          <a:ext cx="361950" cy="209550"/>
          <a:chOff x="1860" y="222"/>
          <a:chExt cx="159" cy="139"/>
        </a:xfrm>
      </xdr:grpSpPr>
      <xdr:sp macro="" textlink="">
        <xdr:nvSpPr>
          <xdr:cNvPr id="135" name="AutoShape 61">
            <a:extLst>
              <a:ext uri="{FF2B5EF4-FFF2-40B4-BE49-F238E27FC236}">
                <a16:creationId xmlns:a16="http://schemas.microsoft.com/office/drawing/2014/main" id="{C4A0DCE6-9F88-176E-FF25-AD37C7E026F5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6" name="Line 62">
            <a:extLst>
              <a:ext uri="{FF2B5EF4-FFF2-40B4-BE49-F238E27FC236}">
                <a16:creationId xmlns:a16="http://schemas.microsoft.com/office/drawing/2014/main" id="{CE17FE70-83B7-B565-5607-EDFF86047C3C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7" name="Line 63">
            <a:extLst>
              <a:ext uri="{FF2B5EF4-FFF2-40B4-BE49-F238E27FC236}">
                <a16:creationId xmlns:a16="http://schemas.microsoft.com/office/drawing/2014/main" id="{742E29EA-D775-76D0-FD3E-26E3A3AF817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8" name="Line 64">
            <a:extLst>
              <a:ext uri="{FF2B5EF4-FFF2-40B4-BE49-F238E27FC236}">
                <a16:creationId xmlns:a16="http://schemas.microsoft.com/office/drawing/2014/main" id="{2583388F-DB5F-BE41-2558-6D579A02DA97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297180</xdr:colOff>
      <xdr:row>59</xdr:row>
      <xdr:rowOff>0</xdr:rowOff>
    </xdr:from>
    <xdr:to>
      <xdr:col>16</xdr:col>
      <xdr:colOff>659130</xdr:colOff>
      <xdr:row>60</xdr:row>
      <xdr:rowOff>41910</xdr:rowOff>
    </xdr:to>
    <xdr:grpSp>
      <xdr:nvGrpSpPr>
        <xdr:cNvPr id="139" name="Group 60">
          <a:extLst>
            <a:ext uri="{FF2B5EF4-FFF2-40B4-BE49-F238E27FC236}">
              <a16:creationId xmlns:a16="http://schemas.microsoft.com/office/drawing/2014/main" id="{FA727269-0471-4121-9557-4CC1D0C34759}"/>
            </a:ext>
          </a:extLst>
        </xdr:cNvPr>
        <xdr:cNvGrpSpPr>
          <a:grpSpLocks/>
        </xdr:cNvGrpSpPr>
      </xdr:nvGrpSpPr>
      <xdr:grpSpPr bwMode="auto">
        <a:xfrm>
          <a:off x="13586460" y="10553700"/>
          <a:ext cx="361950" cy="209550"/>
          <a:chOff x="1860" y="222"/>
          <a:chExt cx="159" cy="139"/>
        </a:xfrm>
      </xdr:grpSpPr>
      <xdr:sp macro="" textlink="">
        <xdr:nvSpPr>
          <xdr:cNvPr id="140" name="AutoShape 61">
            <a:extLst>
              <a:ext uri="{FF2B5EF4-FFF2-40B4-BE49-F238E27FC236}">
                <a16:creationId xmlns:a16="http://schemas.microsoft.com/office/drawing/2014/main" id="{D28F53C4-D6C3-B4B8-3DC9-BAD7A9FD0047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1" name="Line 62">
            <a:extLst>
              <a:ext uri="{FF2B5EF4-FFF2-40B4-BE49-F238E27FC236}">
                <a16:creationId xmlns:a16="http://schemas.microsoft.com/office/drawing/2014/main" id="{6C1EFAFF-510A-2D17-D86B-C02568B4109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2" name="Line 63">
            <a:extLst>
              <a:ext uri="{FF2B5EF4-FFF2-40B4-BE49-F238E27FC236}">
                <a16:creationId xmlns:a16="http://schemas.microsoft.com/office/drawing/2014/main" id="{501627C3-F5C3-0FD6-23FB-B300D0EF5F79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3" name="Line 64">
            <a:extLst>
              <a:ext uri="{FF2B5EF4-FFF2-40B4-BE49-F238E27FC236}">
                <a16:creationId xmlns:a16="http://schemas.microsoft.com/office/drawing/2014/main" id="{58E6714F-3A5B-B0FF-2581-C4061364FA5A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11</xdr:col>
      <xdr:colOff>243840</xdr:colOff>
      <xdr:row>80</xdr:row>
      <xdr:rowOff>0</xdr:rowOff>
    </xdr:from>
    <xdr:to>
      <xdr:col>11</xdr:col>
      <xdr:colOff>605790</xdr:colOff>
      <xdr:row>81</xdr:row>
      <xdr:rowOff>41910</xdr:rowOff>
    </xdr:to>
    <xdr:grpSp>
      <xdr:nvGrpSpPr>
        <xdr:cNvPr id="149" name="Group 60">
          <a:extLst>
            <a:ext uri="{FF2B5EF4-FFF2-40B4-BE49-F238E27FC236}">
              <a16:creationId xmlns:a16="http://schemas.microsoft.com/office/drawing/2014/main" id="{8AA47A4E-886B-4006-A904-C1226A0A0675}"/>
            </a:ext>
          </a:extLst>
        </xdr:cNvPr>
        <xdr:cNvGrpSpPr>
          <a:grpSpLocks/>
        </xdr:cNvGrpSpPr>
      </xdr:nvGrpSpPr>
      <xdr:grpSpPr bwMode="auto">
        <a:xfrm>
          <a:off x="9288780" y="14462760"/>
          <a:ext cx="361950" cy="209550"/>
          <a:chOff x="1860" y="222"/>
          <a:chExt cx="159" cy="139"/>
        </a:xfrm>
      </xdr:grpSpPr>
      <xdr:sp macro="" textlink="">
        <xdr:nvSpPr>
          <xdr:cNvPr id="150" name="AutoShape 61">
            <a:extLst>
              <a:ext uri="{FF2B5EF4-FFF2-40B4-BE49-F238E27FC236}">
                <a16:creationId xmlns:a16="http://schemas.microsoft.com/office/drawing/2014/main" id="{347ECCA7-812F-F1EA-C488-9790E6DC6CF4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1" name="Line 62">
            <a:extLst>
              <a:ext uri="{FF2B5EF4-FFF2-40B4-BE49-F238E27FC236}">
                <a16:creationId xmlns:a16="http://schemas.microsoft.com/office/drawing/2014/main" id="{A59D023B-69FE-692B-3704-77D0BAC69379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2" name="Line 63">
            <a:extLst>
              <a:ext uri="{FF2B5EF4-FFF2-40B4-BE49-F238E27FC236}">
                <a16:creationId xmlns:a16="http://schemas.microsoft.com/office/drawing/2014/main" id="{6B70D048-5335-D24C-4375-7E4A564D4C60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3" name="Line 64">
            <a:extLst>
              <a:ext uri="{FF2B5EF4-FFF2-40B4-BE49-F238E27FC236}">
                <a16:creationId xmlns:a16="http://schemas.microsoft.com/office/drawing/2014/main" id="{447E5995-DA18-D99A-8257-C41D7842DD6C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434340</xdr:colOff>
      <xdr:row>80</xdr:row>
      <xdr:rowOff>0</xdr:rowOff>
    </xdr:from>
    <xdr:to>
      <xdr:col>17</xdr:col>
      <xdr:colOff>3810</xdr:colOff>
      <xdr:row>81</xdr:row>
      <xdr:rowOff>41910</xdr:rowOff>
    </xdr:to>
    <xdr:grpSp>
      <xdr:nvGrpSpPr>
        <xdr:cNvPr id="154" name="Group 60">
          <a:extLst>
            <a:ext uri="{FF2B5EF4-FFF2-40B4-BE49-F238E27FC236}">
              <a16:creationId xmlns:a16="http://schemas.microsoft.com/office/drawing/2014/main" id="{BAB5456D-974B-4E54-AD1A-1566DF173318}"/>
            </a:ext>
          </a:extLst>
        </xdr:cNvPr>
        <xdr:cNvGrpSpPr>
          <a:grpSpLocks/>
        </xdr:cNvGrpSpPr>
      </xdr:nvGrpSpPr>
      <xdr:grpSpPr bwMode="auto">
        <a:xfrm>
          <a:off x="13723620" y="14462760"/>
          <a:ext cx="361950" cy="209550"/>
          <a:chOff x="1860" y="222"/>
          <a:chExt cx="159" cy="139"/>
        </a:xfrm>
      </xdr:grpSpPr>
      <xdr:sp macro="" textlink="">
        <xdr:nvSpPr>
          <xdr:cNvPr id="155" name="AutoShape 61">
            <a:extLst>
              <a:ext uri="{FF2B5EF4-FFF2-40B4-BE49-F238E27FC236}">
                <a16:creationId xmlns:a16="http://schemas.microsoft.com/office/drawing/2014/main" id="{999DFA34-125C-436A-FE9B-22D6CC5AE7B4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6" name="Line 62">
            <a:extLst>
              <a:ext uri="{FF2B5EF4-FFF2-40B4-BE49-F238E27FC236}">
                <a16:creationId xmlns:a16="http://schemas.microsoft.com/office/drawing/2014/main" id="{3008CB49-FEB8-8D2F-3A2A-396025630ED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7" name="Line 63">
            <a:extLst>
              <a:ext uri="{FF2B5EF4-FFF2-40B4-BE49-F238E27FC236}">
                <a16:creationId xmlns:a16="http://schemas.microsoft.com/office/drawing/2014/main" id="{E0D88112-7834-3925-A0C2-FE253A097D5D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8" name="Line 64">
            <a:extLst>
              <a:ext uri="{FF2B5EF4-FFF2-40B4-BE49-F238E27FC236}">
                <a16:creationId xmlns:a16="http://schemas.microsoft.com/office/drawing/2014/main" id="{413D8EAC-7F6F-286D-D3B0-D45A588784B1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0</xdr:colOff>
      <xdr:row>40</xdr:row>
      <xdr:rowOff>0</xdr:rowOff>
    </xdr:from>
    <xdr:to>
      <xdr:col>7</xdr:col>
      <xdr:colOff>685800</xdr:colOff>
      <xdr:row>41</xdr:row>
      <xdr:rowOff>0</xdr:rowOff>
    </xdr:to>
    <xdr:sp macro="" textlink="">
      <xdr:nvSpPr>
        <xdr:cNvPr id="160" name="AutoShape 33">
          <a:extLst>
            <a:ext uri="{FF2B5EF4-FFF2-40B4-BE49-F238E27FC236}">
              <a16:creationId xmlns:a16="http://schemas.microsoft.com/office/drawing/2014/main" id="{5BD68417-8168-4F81-8CB7-620BD911BF0D}"/>
            </a:ext>
          </a:extLst>
        </xdr:cNvPr>
        <xdr:cNvSpPr>
          <a:spLocks noChangeArrowheads="1"/>
        </xdr:cNvSpPr>
      </xdr:nvSpPr>
      <xdr:spPr bwMode="auto">
        <a:xfrm>
          <a:off x="3962400" y="5852160"/>
          <a:ext cx="2270760" cy="16764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7</xdr:col>
      <xdr:colOff>685800</xdr:colOff>
      <xdr:row>22</xdr:row>
      <xdr:rowOff>0</xdr:rowOff>
    </xdr:to>
    <xdr:sp macro="" textlink="">
      <xdr:nvSpPr>
        <xdr:cNvPr id="163" name="AutoShape 33">
          <a:extLst>
            <a:ext uri="{FF2B5EF4-FFF2-40B4-BE49-F238E27FC236}">
              <a16:creationId xmlns:a16="http://schemas.microsoft.com/office/drawing/2014/main" id="{237A45BE-3F7E-405E-9A93-94DF89895157}"/>
            </a:ext>
          </a:extLst>
        </xdr:cNvPr>
        <xdr:cNvSpPr>
          <a:spLocks noChangeArrowheads="1"/>
        </xdr:cNvSpPr>
      </xdr:nvSpPr>
      <xdr:spPr bwMode="auto">
        <a:xfrm>
          <a:off x="3962400" y="2468880"/>
          <a:ext cx="2270760" cy="16764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0</xdr:colOff>
      <xdr:row>21</xdr:row>
      <xdr:rowOff>0</xdr:rowOff>
    </xdr:from>
    <xdr:to>
      <xdr:col>12</xdr:col>
      <xdr:colOff>685800</xdr:colOff>
      <xdr:row>22</xdr:row>
      <xdr:rowOff>0</xdr:rowOff>
    </xdr:to>
    <xdr:sp macro="" textlink="">
      <xdr:nvSpPr>
        <xdr:cNvPr id="164" name="AutoShape 33">
          <a:extLst>
            <a:ext uri="{FF2B5EF4-FFF2-40B4-BE49-F238E27FC236}">
              <a16:creationId xmlns:a16="http://schemas.microsoft.com/office/drawing/2014/main" id="{B2474DE1-67EC-4202-9C12-11BEC3598D7A}"/>
            </a:ext>
          </a:extLst>
        </xdr:cNvPr>
        <xdr:cNvSpPr>
          <a:spLocks noChangeArrowheads="1"/>
        </xdr:cNvSpPr>
      </xdr:nvSpPr>
      <xdr:spPr bwMode="auto">
        <a:xfrm>
          <a:off x="8252460" y="2468880"/>
          <a:ext cx="2270760" cy="16764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15</xdr:col>
      <xdr:colOff>0</xdr:colOff>
      <xdr:row>21</xdr:row>
      <xdr:rowOff>0</xdr:rowOff>
    </xdr:from>
    <xdr:to>
      <xdr:col>18</xdr:col>
      <xdr:colOff>708660</xdr:colOff>
      <xdr:row>22</xdr:row>
      <xdr:rowOff>0</xdr:rowOff>
    </xdr:to>
    <xdr:sp macro="" textlink="">
      <xdr:nvSpPr>
        <xdr:cNvPr id="165" name="AutoShape 33">
          <a:extLst>
            <a:ext uri="{FF2B5EF4-FFF2-40B4-BE49-F238E27FC236}">
              <a16:creationId xmlns:a16="http://schemas.microsoft.com/office/drawing/2014/main" id="{B0A1A234-25C1-4C04-AE10-B96D3B711D2E}"/>
            </a:ext>
          </a:extLst>
        </xdr:cNvPr>
        <xdr:cNvSpPr>
          <a:spLocks noChangeArrowheads="1"/>
        </xdr:cNvSpPr>
      </xdr:nvSpPr>
      <xdr:spPr bwMode="auto">
        <a:xfrm>
          <a:off x="12496800" y="2468880"/>
          <a:ext cx="3086100" cy="16764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16</xdr:col>
      <xdr:colOff>441960</xdr:colOff>
      <xdr:row>23</xdr:row>
      <xdr:rowOff>99060</xdr:rowOff>
    </xdr:from>
    <xdr:to>
      <xdr:col>17</xdr:col>
      <xdr:colOff>236220</xdr:colOff>
      <xdr:row>25</xdr:row>
      <xdr:rowOff>106680</xdr:rowOff>
    </xdr:to>
    <xdr:grpSp>
      <xdr:nvGrpSpPr>
        <xdr:cNvPr id="166" name="Group 60">
          <a:extLst>
            <a:ext uri="{FF2B5EF4-FFF2-40B4-BE49-F238E27FC236}">
              <a16:creationId xmlns:a16="http://schemas.microsoft.com/office/drawing/2014/main" id="{7B1F1E31-DBFE-412E-BEAF-D4D6EB6CB455}"/>
            </a:ext>
          </a:extLst>
        </xdr:cNvPr>
        <xdr:cNvGrpSpPr>
          <a:grpSpLocks/>
        </xdr:cNvGrpSpPr>
      </xdr:nvGrpSpPr>
      <xdr:grpSpPr bwMode="auto">
        <a:xfrm flipH="1">
          <a:off x="13731240" y="4274820"/>
          <a:ext cx="586740" cy="342900"/>
          <a:chOff x="1860" y="222"/>
          <a:chExt cx="159" cy="139"/>
        </a:xfrm>
      </xdr:grpSpPr>
      <xdr:sp macro="" textlink="">
        <xdr:nvSpPr>
          <xdr:cNvPr id="167" name="AutoShape 61">
            <a:extLst>
              <a:ext uri="{FF2B5EF4-FFF2-40B4-BE49-F238E27FC236}">
                <a16:creationId xmlns:a16="http://schemas.microsoft.com/office/drawing/2014/main" id="{9CC69676-1896-9775-8823-A14EFA5E5140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8" name="Line 62">
            <a:extLst>
              <a:ext uri="{FF2B5EF4-FFF2-40B4-BE49-F238E27FC236}">
                <a16:creationId xmlns:a16="http://schemas.microsoft.com/office/drawing/2014/main" id="{BDCDEEE4-934C-9B60-B1CA-6B9971DCF43E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9" name="Line 63">
            <a:extLst>
              <a:ext uri="{FF2B5EF4-FFF2-40B4-BE49-F238E27FC236}">
                <a16:creationId xmlns:a16="http://schemas.microsoft.com/office/drawing/2014/main" id="{FC73155C-943D-C8E1-BE00-7A39BD8D1D0D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0" name="Line 64">
            <a:extLst>
              <a:ext uri="{FF2B5EF4-FFF2-40B4-BE49-F238E27FC236}">
                <a16:creationId xmlns:a16="http://schemas.microsoft.com/office/drawing/2014/main" id="{4C155F9A-FE4F-C08E-79E8-29B06246DFA6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11</xdr:col>
      <xdr:colOff>0</xdr:colOff>
      <xdr:row>24</xdr:row>
      <xdr:rowOff>0</xdr:rowOff>
    </xdr:from>
    <xdr:to>
      <xdr:col>11</xdr:col>
      <xdr:colOff>361950</xdr:colOff>
      <xdr:row>25</xdr:row>
      <xdr:rowOff>41910</xdr:rowOff>
    </xdr:to>
    <xdr:grpSp>
      <xdr:nvGrpSpPr>
        <xdr:cNvPr id="176" name="Group 60">
          <a:extLst>
            <a:ext uri="{FF2B5EF4-FFF2-40B4-BE49-F238E27FC236}">
              <a16:creationId xmlns:a16="http://schemas.microsoft.com/office/drawing/2014/main" id="{2E30E909-8F50-455B-B780-695A0B085A97}"/>
            </a:ext>
          </a:extLst>
        </xdr:cNvPr>
        <xdr:cNvGrpSpPr>
          <a:grpSpLocks/>
        </xdr:cNvGrpSpPr>
      </xdr:nvGrpSpPr>
      <xdr:grpSpPr bwMode="auto">
        <a:xfrm>
          <a:off x="9044940" y="4343400"/>
          <a:ext cx="361950" cy="209550"/>
          <a:chOff x="1860" y="222"/>
          <a:chExt cx="159" cy="139"/>
        </a:xfrm>
      </xdr:grpSpPr>
      <xdr:sp macro="" textlink="">
        <xdr:nvSpPr>
          <xdr:cNvPr id="177" name="AutoShape 61">
            <a:extLst>
              <a:ext uri="{FF2B5EF4-FFF2-40B4-BE49-F238E27FC236}">
                <a16:creationId xmlns:a16="http://schemas.microsoft.com/office/drawing/2014/main" id="{DEE55454-B653-C050-F655-B09EF4B7F19E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8" name="Line 62">
            <a:extLst>
              <a:ext uri="{FF2B5EF4-FFF2-40B4-BE49-F238E27FC236}">
                <a16:creationId xmlns:a16="http://schemas.microsoft.com/office/drawing/2014/main" id="{431C4407-ED05-2C07-6602-E22ACBADE546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9" name="Line 63">
            <a:extLst>
              <a:ext uri="{FF2B5EF4-FFF2-40B4-BE49-F238E27FC236}">
                <a16:creationId xmlns:a16="http://schemas.microsoft.com/office/drawing/2014/main" id="{E66DEE50-6890-613A-A94D-E23661A111F0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0" name="Line 64">
            <a:extLst>
              <a:ext uri="{FF2B5EF4-FFF2-40B4-BE49-F238E27FC236}">
                <a16:creationId xmlns:a16="http://schemas.microsoft.com/office/drawing/2014/main" id="{D54196C7-6C0D-A499-D989-385FAD6F2651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22</xdr:col>
      <xdr:colOff>0</xdr:colOff>
      <xdr:row>80</xdr:row>
      <xdr:rowOff>0</xdr:rowOff>
    </xdr:from>
    <xdr:to>
      <xdr:col>22</xdr:col>
      <xdr:colOff>361950</xdr:colOff>
      <xdr:row>81</xdr:row>
      <xdr:rowOff>41910</xdr:rowOff>
    </xdr:to>
    <xdr:grpSp>
      <xdr:nvGrpSpPr>
        <xdr:cNvPr id="186" name="Group 60">
          <a:extLst>
            <a:ext uri="{FF2B5EF4-FFF2-40B4-BE49-F238E27FC236}">
              <a16:creationId xmlns:a16="http://schemas.microsoft.com/office/drawing/2014/main" id="{4F810BBF-5E20-458A-B969-FF988A1D3E23}"/>
            </a:ext>
          </a:extLst>
        </xdr:cNvPr>
        <xdr:cNvGrpSpPr>
          <a:grpSpLocks/>
        </xdr:cNvGrpSpPr>
      </xdr:nvGrpSpPr>
      <xdr:grpSpPr bwMode="auto">
        <a:xfrm>
          <a:off x="18044160" y="14462760"/>
          <a:ext cx="361950" cy="209550"/>
          <a:chOff x="1860" y="222"/>
          <a:chExt cx="159" cy="139"/>
        </a:xfrm>
      </xdr:grpSpPr>
      <xdr:sp macro="" textlink="">
        <xdr:nvSpPr>
          <xdr:cNvPr id="187" name="AutoShape 61">
            <a:extLst>
              <a:ext uri="{FF2B5EF4-FFF2-40B4-BE49-F238E27FC236}">
                <a16:creationId xmlns:a16="http://schemas.microsoft.com/office/drawing/2014/main" id="{6EC4E701-A148-8686-5FE5-93512CB21E14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8" name="Line 62">
            <a:extLst>
              <a:ext uri="{FF2B5EF4-FFF2-40B4-BE49-F238E27FC236}">
                <a16:creationId xmlns:a16="http://schemas.microsoft.com/office/drawing/2014/main" id="{E4530933-4F78-3764-CD53-77117488D071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9" name="Line 63">
            <a:extLst>
              <a:ext uri="{FF2B5EF4-FFF2-40B4-BE49-F238E27FC236}">
                <a16:creationId xmlns:a16="http://schemas.microsoft.com/office/drawing/2014/main" id="{EA971B0A-3B1B-79D7-B644-7FBDD27AD52B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0" name="Line 64">
            <a:extLst>
              <a:ext uri="{FF2B5EF4-FFF2-40B4-BE49-F238E27FC236}">
                <a16:creationId xmlns:a16="http://schemas.microsoft.com/office/drawing/2014/main" id="{DCBCE294-086C-2F2F-E467-C9C572A5BE25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15836</xdr:colOff>
      <xdr:row>5</xdr:row>
      <xdr:rowOff>114300</xdr:rowOff>
    </xdr:from>
    <xdr:to>
      <xdr:col>3</xdr:col>
      <xdr:colOff>38099</xdr:colOff>
      <xdr:row>8</xdr:row>
      <xdr:rowOff>156210</xdr:rowOff>
    </xdr:to>
    <xdr:grpSp>
      <xdr:nvGrpSpPr>
        <xdr:cNvPr id="29" name="Group 256">
          <a:extLst>
            <a:ext uri="{FF2B5EF4-FFF2-40B4-BE49-F238E27FC236}">
              <a16:creationId xmlns:a16="http://schemas.microsoft.com/office/drawing/2014/main" id="{3A7736CD-82A8-4344-87B5-CAB0DEF6DA8C}"/>
            </a:ext>
          </a:extLst>
        </xdr:cNvPr>
        <xdr:cNvGrpSpPr>
          <a:grpSpLocks/>
        </xdr:cNvGrpSpPr>
      </xdr:nvGrpSpPr>
      <xdr:grpSpPr bwMode="auto">
        <a:xfrm>
          <a:off x="808316" y="1082040"/>
          <a:ext cx="1607223" cy="544830"/>
          <a:chOff x="128" y="335"/>
          <a:chExt cx="289" cy="88"/>
        </a:xfrm>
      </xdr:grpSpPr>
      <xdr:sp macro="" textlink="">
        <xdr:nvSpPr>
          <xdr:cNvPr id="33" name="Rectangle 257">
            <a:extLst>
              <a:ext uri="{FF2B5EF4-FFF2-40B4-BE49-F238E27FC236}">
                <a16:creationId xmlns:a16="http://schemas.microsoft.com/office/drawing/2014/main" id="{8B3F7418-56A5-D312-183A-78C446DD47C6}"/>
              </a:ext>
            </a:extLst>
          </xdr:cNvPr>
          <xdr:cNvSpPr>
            <a:spLocks noChangeArrowheads="1"/>
          </xdr:cNvSpPr>
        </xdr:nvSpPr>
        <xdr:spPr bwMode="auto">
          <a:xfrm>
            <a:off x="128" y="351"/>
            <a:ext cx="289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Proveedor de Material Material</a:t>
            </a:r>
          </a:p>
        </xdr:txBody>
      </xdr:sp>
      <xdr:sp macro="" textlink="">
        <xdr:nvSpPr>
          <xdr:cNvPr id="34" name="AutoShape 258">
            <a:extLst>
              <a:ext uri="{FF2B5EF4-FFF2-40B4-BE49-F238E27FC236}">
                <a16:creationId xmlns:a16="http://schemas.microsoft.com/office/drawing/2014/main" id="{B8FD3C38-D433-F572-7370-FD780A29C3E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5" name="AutoShape 259">
            <a:extLst>
              <a:ext uri="{FF2B5EF4-FFF2-40B4-BE49-F238E27FC236}">
                <a16:creationId xmlns:a16="http://schemas.microsoft.com/office/drawing/2014/main" id="{9D14AA86-8802-C272-BABF-29CF74399E8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9" name="AutoShape 260">
            <a:extLst>
              <a:ext uri="{FF2B5EF4-FFF2-40B4-BE49-F238E27FC236}">
                <a16:creationId xmlns:a16="http://schemas.microsoft.com/office/drawing/2014/main" id="{07B7BB7A-D0F8-825C-8107-53840839E5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0" name="AutoShape 261">
            <a:extLst>
              <a:ext uri="{FF2B5EF4-FFF2-40B4-BE49-F238E27FC236}">
                <a16:creationId xmlns:a16="http://schemas.microsoft.com/office/drawing/2014/main" id="{91BF635A-625F-C07F-A10B-67C05AB5D7B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1" name="AutoShape 262">
            <a:extLst>
              <a:ext uri="{FF2B5EF4-FFF2-40B4-BE49-F238E27FC236}">
                <a16:creationId xmlns:a16="http://schemas.microsoft.com/office/drawing/2014/main" id="{DD563502-BC61-7B9A-27C7-2E57BD4E391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8" name="AutoShape 263">
            <a:extLst>
              <a:ext uri="{FF2B5EF4-FFF2-40B4-BE49-F238E27FC236}">
                <a16:creationId xmlns:a16="http://schemas.microsoft.com/office/drawing/2014/main" id="{EDB182BC-7FCC-0DD6-8181-E2EDC5338EF6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145732</xdr:colOff>
      <xdr:row>16</xdr:row>
      <xdr:rowOff>106682</xdr:rowOff>
    </xdr:from>
    <xdr:to>
      <xdr:col>2</xdr:col>
      <xdr:colOff>342900</xdr:colOff>
      <xdr:row>21</xdr:row>
      <xdr:rowOff>152401</xdr:rowOff>
    </xdr:to>
    <xdr:sp macro="" textlink="">
      <xdr:nvSpPr>
        <xdr:cNvPr id="49" name="AutoShape 2">
          <a:extLst>
            <a:ext uri="{FF2B5EF4-FFF2-40B4-BE49-F238E27FC236}">
              <a16:creationId xmlns:a16="http://schemas.microsoft.com/office/drawing/2014/main" id="{CECFB225-70FA-4A2B-9ABA-EC5FB727A7EC}"/>
            </a:ext>
          </a:extLst>
        </xdr:cNvPr>
        <xdr:cNvSpPr>
          <a:spLocks noChangeArrowheads="1"/>
        </xdr:cNvSpPr>
      </xdr:nvSpPr>
      <xdr:spPr bwMode="auto">
        <a:xfrm rot="5400000">
          <a:off x="1326356" y="3322798"/>
          <a:ext cx="1005839" cy="197168"/>
        </a:xfrm>
        <a:prstGeom prst="rightArrow">
          <a:avLst>
            <a:gd name="adj1" fmla="val 45304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449878</xdr:colOff>
      <xdr:row>23</xdr:row>
      <xdr:rowOff>0</xdr:rowOff>
    </xdr:from>
    <xdr:to>
      <xdr:col>2</xdr:col>
      <xdr:colOff>600075</xdr:colOff>
      <xdr:row>28</xdr:row>
      <xdr:rowOff>68580</xdr:rowOff>
    </xdr:to>
    <xdr:pic>
      <xdr:nvPicPr>
        <xdr:cNvPr id="54" name="Picture 92">
          <a:extLst>
            <a:ext uri="{FF2B5EF4-FFF2-40B4-BE49-F238E27FC236}">
              <a16:creationId xmlns:a16="http://schemas.microsoft.com/office/drawing/2014/main" id="{39FEDD40-30CD-42BD-BE04-FD86C7DA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878" y="3977640"/>
          <a:ext cx="1735157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69498</xdr:colOff>
      <xdr:row>36</xdr:row>
      <xdr:rowOff>68580</xdr:rowOff>
    </xdr:from>
    <xdr:to>
      <xdr:col>2</xdr:col>
      <xdr:colOff>480060</xdr:colOff>
      <xdr:row>41</xdr:row>
      <xdr:rowOff>160068</xdr:rowOff>
    </xdr:to>
    <xdr:pic>
      <xdr:nvPicPr>
        <xdr:cNvPr id="56" name="Picture 92">
          <a:extLst>
            <a:ext uri="{FF2B5EF4-FFF2-40B4-BE49-F238E27FC236}">
              <a16:creationId xmlns:a16="http://schemas.microsoft.com/office/drawing/2014/main" id="{43DE04E9-3717-41FB-B7F3-79A32010A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8" y="6301740"/>
          <a:ext cx="1995522" cy="10516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43494</xdr:colOff>
      <xdr:row>27</xdr:row>
      <xdr:rowOff>144780</xdr:rowOff>
    </xdr:from>
    <xdr:to>
      <xdr:col>14</xdr:col>
      <xdr:colOff>600075</xdr:colOff>
      <xdr:row>32</xdr:row>
      <xdr:rowOff>121920</xdr:rowOff>
    </xdr:to>
    <xdr:pic>
      <xdr:nvPicPr>
        <xdr:cNvPr id="61" name="Picture 92">
          <a:extLst>
            <a:ext uri="{FF2B5EF4-FFF2-40B4-BE49-F238E27FC236}">
              <a16:creationId xmlns:a16="http://schemas.microsoft.com/office/drawing/2014/main" id="{BA73ED59-4509-4F6D-9B3F-EBD20E7D6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3394" y="4800600"/>
          <a:ext cx="1547181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0</xdr:colOff>
      <xdr:row>27</xdr:row>
      <xdr:rowOff>167639</xdr:rowOff>
    </xdr:from>
    <xdr:to>
      <xdr:col>20</xdr:col>
      <xdr:colOff>746760</xdr:colOff>
      <xdr:row>32</xdr:row>
      <xdr:rowOff>140594</xdr:rowOff>
    </xdr:to>
    <xdr:pic>
      <xdr:nvPicPr>
        <xdr:cNvPr id="63" name="Picture 92">
          <a:extLst>
            <a:ext uri="{FF2B5EF4-FFF2-40B4-BE49-F238E27FC236}">
              <a16:creationId xmlns:a16="http://schemas.microsoft.com/office/drawing/2014/main" id="{CAD81DD8-DAB5-4E3E-9624-56CEF8D5E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66720" y="4823459"/>
          <a:ext cx="1539240" cy="811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0</xdr:colOff>
      <xdr:row>28</xdr:row>
      <xdr:rowOff>0</xdr:rowOff>
    </xdr:from>
    <xdr:to>
      <xdr:col>17</xdr:col>
      <xdr:colOff>552266</xdr:colOff>
      <xdr:row>32</xdr:row>
      <xdr:rowOff>38100</xdr:rowOff>
    </xdr:to>
    <xdr:pic>
      <xdr:nvPicPr>
        <xdr:cNvPr id="64" name="Picture 92">
          <a:extLst>
            <a:ext uri="{FF2B5EF4-FFF2-40B4-BE49-F238E27FC236}">
              <a16:creationId xmlns:a16="http://schemas.microsoft.com/office/drawing/2014/main" id="{E3CE3381-A571-496B-B811-2F7535F3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9280" y="4823460"/>
          <a:ext cx="1344746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0</xdr:colOff>
      <xdr:row>46</xdr:row>
      <xdr:rowOff>167639</xdr:rowOff>
    </xdr:from>
    <xdr:to>
      <xdr:col>17</xdr:col>
      <xdr:colOff>510540</xdr:colOff>
      <xdr:row>51</xdr:row>
      <xdr:rowOff>16110</xdr:rowOff>
    </xdr:to>
    <xdr:pic>
      <xdr:nvPicPr>
        <xdr:cNvPr id="65" name="Picture 92">
          <a:extLst>
            <a:ext uri="{FF2B5EF4-FFF2-40B4-BE49-F238E27FC236}">
              <a16:creationId xmlns:a16="http://schemas.microsoft.com/office/drawing/2014/main" id="{1D117996-E017-4E33-A0E8-C3CF36901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9280" y="8214359"/>
          <a:ext cx="1303020" cy="6866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0</xdr:colOff>
      <xdr:row>63</xdr:row>
      <xdr:rowOff>0</xdr:rowOff>
    </xdr:from>
    <xdr:to>
      <xdr:col>17</xdr:col>
      <xdr:colOff>667943</xdr:colOff>
      <xdr:row>67</xdr:row>
      <xdr:rowOff>99060</xdr:rowOff>
    </xdr:to>
    <xdr:pic>
      <xdr:nvPicPr>
        <xdr:cNvPr id="69" name="Picture 92">
          <a:extLst>
            <a:ext uri="{FF2B5EF4-FFF2-40B4-BE49-F238E27FC236}">
              <a16:creationId xmlns:a16="http://schemas.microsoft.com/office/drawing/2014/main" id="{FAFD3F1B-A538-472F-AAE5-AEBFD7AE4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9280" y="11026140"/>
          <a:ext cx="1460423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7620</xdr:colOff>
      <xdr:row>63</xdr:row>
      <xdr:rowOff>121919</xdr:rowOff>
    </xdr:from>
    <xdr:to>
      <xdr:col>10</xdr:col>
      <xdr:colOff>109144</xdr:colOff>
      <xdr:row>68</xdr:row>
      <xdr:rowOff>129540</xdr:rowOff>
    </xdr:to>
    <xdr:pic>
      <xdr:nvPicPr>
        <xdr:cNvPr id="70" name="Picture 92">
          <a:extLst>
            <a:ext uri="{FF2B5EF4-FFF2-40B4-BE49-F238E27FC236}">
              <a16:creationId xmlns:a16="http://schemas.microsoft.com/office/drawing/2014/main" id="{C10958BD-B2C3-4920-B845-B4205B01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460" y="11148059"/>
          <a:ext cx="2014144" cy="845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47</xdr:row>
      <xdr:rowOff>0</xdr:rowOff>
    </xdr:from>
    <xdr:to>
      <xdr:col>13</xdr:col>
      <xdr:colOff>5600</xdr:colOff>
      <xdr:row>52</xdr:row>
      <xdr:rowOff>0</xdr:rowOff>
    </xdr:to>
    <xdr:pic>
      <xdr:nvPicPr>
        <xdr:cNvPr id="71" name="Picture 92">
          <a:extLst>
            <a:ext uri="{FF2B5EF4-FFF2-40B4-BE49-F238E27FC236}">
              <a16:creationId xmlns:a16="http://schemas.microsoft.com/office/drawing/2014/main" id="{1840B191-90E3-46C2-B7EC-F53E02447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40" y="8214360"/>
          <a:ext cx="159056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0</xdr:colOff>
      <xdr:row>27</xdr:row>
      <xdr:rowOff>0</xdr:rowOff>
    </xdr:from>
    <xdr:to>
      <xdr:col>25</xdr:col>
      <xdr:colOff>129540</xdr:colOff>
      <xdr:row>32</xdr:row>
      <xdr:rowOff>65314</xdr:rowOff>
    </xdr:to>
    <xdr:pic>
      <xdr:nvPicPr>
        <xdr:cNvPr id="75" name="Picture 92">
          <a:extLst>
            <a:ext uri="{FF2B5EF4-FFF2-40B4-BE49-F238E27FC236}">
              <a16:creationId xmlns:a16="http://schemas.microsoft.com/office/drawing/2014/main" id="{5E86227A-A75E-4885-B343-DDB50545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36640" y="4655820"/>
          <a:ext cx="1714500" cy="9035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0</xdr:colOff>
      <xdr:row>65</xdr:row>
      <xdr:rowOff>0</xdr:rowOff>
    </xdr:from>
    <xdr:to>
      <xdr:col>21</xdr:col>
      <xdr:colOff>610105</xdr:colOff>
      <xdr:row>69</xdr:row>
      <xdr:rowOff>68580</xdr:rowOff>
    </xdr:to>
    <xdr:pic>
      <xdr:nvPicPr>
        <xdr:cNvPr id="77" name="Picture 92">
          <a:extLst>
            <a:ext uri="{FF2B5EF4-FFF2-40B4-BE49-F238E27FC236}">
              <a16:creationId xmlns:a16="http://schemas.microsoft.com/office/drawing/2014/main" id="{023C00AE-596E-4BB4-BE2C-1D7A79824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361420"/>
          <a:ext cx="1402585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0</xdr:colOff>
      <xdr:row>85</xdr:row>
      <xdr:rowOff>0</xdr:rowOff>
    </xdr:from>
    <xdr:to>
      <xdr:col>22</xdr:col>
      <xdr:colOff>610105</xdr:colOff>
      <xdr:row>89</xdr:row>
      <xdr:rowOff>68580</xdr:rowOff>
    </xdr:to>
    <xdr:pic>
      <xdr:nvPicPr>
        <xdr:cNvPr id="97" name="Picture 92">
          <a:extLst>
            <a:ext uri="{FF2B5EF4-FFF2-40B4-BE49-F238E27FC236}">
              <a16:creationId xmlns:a16="http://schemas.microsoft.com/office/drawing/2014/main" id="{DA1BF30B-8041-4C25-96C2-4B784D99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1680" y="15110460"/>
          <a:ext cx="1402585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0</xdr:colOff>
      <xdr:row>83</xdr:row>
      <xdr:rowOff>0</xdr:rowOff>
    </xdr:from>
    <xdr:to>
      <xdr:col>27</xdr:col>
      <xdr:colOff>610105</xdr:colOff>
      <xdr:row>87</xdr:row>
      <xdr:rowOff>60960</xdr:rowOff>
    </xdr:to>
    <xdr:pic>
      <xdr:nvPicPr>
        <xdr:cNvPr id="100" name="Picture 92">
          <a:extLst>
            <a:ext uri="{FF2B5EF4-FFF2-40B4-BE49-F238E27FC236}">
              <a16:creationId xmlns:a16="http://schemas.microsoft.com/office/drawing/2014/main" id="{D6C8727B-5858-48CF-BA21-BF0BDDDE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14080" y="14767560"/>
          <a:ext cx="1402585" cy="739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754701</xdr:colOff>
      <xdr:row>33</xdr:row>
      <xdr:rowOff>144780</xdr:rowOff>
    </xdr:to>
    <xdr:pic>
      <xdr:nvPicPr>
        <xdr:cNvPr id="107" name="Picture 92">
          <a:extLst>
            <a:ext uri="{FF2B5EF4-FFF2-40B4-BE49-F238E27FC236}">
              <a16:creationId xmlns:a16="http://schemas.microsoft.com/office/drawing/2014/main" id="{EC2E18A7-FD8B-4713-BE87-4C7722DC1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2460" y="4991100"/>
          <a:ext cx="1547181" cy="815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63</xdr:row>
      <xdr:rowOff>0</xdr:rowOff>
    </xdr:from>
    <xdr:to>
      <xdr:col>13</xdr:col>
      <xdr:colOff>429184</xdr:colOff>
      <xdr:row>68</xdr:row>
      <xdr:rowOff>7621</xdr:rowOff>
    </xdr:to>
    <xdr:pic>
      <xdr:nvPicPr>
        <xdr:cNvPr id="109" name="Picture 92">
          <a:extLst>
            <a:ext uri="{FF2B5EF4-FFF2-40B4-BE49-F238E27FC236}">
              <a16:creationId xmlns:a16="http://schemas.microsoft.com/office/drawing/2014/main" id="{1C46BE2C-2F47-42C0-B64E-D84CEA3A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40" y="11026140"/>
          <a:ext cx="2014144" cy="845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0</xdr:colOff>
      <xdr:row>85</xdr:row>
      <xdr:rowOff>0</xdr:rowOff>
    </xdr:from>
    <xdr:to>
      <xdr:col>13</xdr:col>
      <xdr:colOff>429184</xdr:colOff>
      <xdr:row>90</xdr:row>
      <xdr:rowOff>7621</xdr:rowOff>
    </xdr:to>
    <xdr:pic>
      <xdr:nvPicPr>
        <xdr:cNvPr id="111" name="Picture 92">
          <a:extLst>
            <a:ext uri="{FF2B5EF4-FFF2-40B4-BE49-F238E27FC236}">
              <a16:creationId xmlns:a16="http://schemas.microsoft.com/office/drawing/2014/main" id="{3343634F-48E5-4EA8-B845-28698613B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4940" y="15110460"/>
          <a:ext cx="2014144" cy="8458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0</xdr:colOff>
      <xdr:row>85</xdr:row>
      <xdr:rowOff>0</xdr:rowOff>
    </xdr:from>
    <xdr:to>
      <xdr:col>17</xdr:col>
      <xdr:colOff>667943</xdr:colOff>
      <xdr:row>89</xdr:row>
      <xdr:rowOff>99060</xdr:rowOff>
    </xdr:to>
    <xdr:pic>
      <xdr:nvPicPr>
        <xdr:cNvPr id="112" name="Picture 92">
          <a:extLst>
            <a:ext uri="{FF2B5EF4-FFF2-40B4-BE49-F238E27FC236}">
              <a16:creationId xmlns:a16="http://schemas.microsoft.com/office/drawing/2014/main" id="{A363F20A-57F6-4ACB-9C5B-4EAC247C8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89280" y="15110460"/>
          <a:ext cx="1460423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12</xdr:row>
      <xdr:rowOff>30480</xdr:rowOff>
    </xdr:from>
    <xdr:to>
      <xdr:col>1</xdr:col>
      <xdr:colOff>714375</xdr:colOff>
      <xdr:row>13</xdr:row>
      <xdr:rowOff>64770</xdr:rowOff>
    </xdr:to>
    <xdr:grpSp>
      <xdr:nvGrpSpPr>
        <xdr:cNvPr id="130" name="Group 39">
          <a:extLst>
            <a:ext uri="{FF2B5EF4-FFF2-40B4-BE49-F238E27FC236}">
              <a16:creationId xmlns:a16="http://schemas.microsoft.com/office/drawing/2014/main" id="{180BD97F-C540-4600-BE0E-EB80EA56659A}"/>
            </a:ext>
          </a:extLst>
        </xdr:cNvPr>
        <xdr:cNvGrpSpPr>
          <a:grpSpLocks/>
        </xdr:cNvGrpSpPr>
      </xdr:nvGrpSpPr>
      <xdr:grpSpPr bwMode="auto">
        <a:xfrm>
          <a:off x="1173480" y="2179320"/>
          <a:ext cx="333375" cy="255270"/>
          <a:chOff x="320" y="533"/>
          <a:chExt cx="52" cy="52"/>
        </a:xfrm>
      </xdr:grpSpPr>
      <xdr:sp macro="" textlink="">
        <xdr:nvSpPr>
          <xdr:cNvPr id="131" name="Rectangle 40">
            <a:extLst>
              <a:ext uri="{FF2B5EF4-FFF2-40B4-BE49-F238E27FC236}">
                <a16:creationId xmlns:a16="http://schemas.microsoft.com/office/drawing/2014/main" id="{42184157-DA78-1CBE-6466-4140C2525FBC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2" name="Rectangle 41">
            <a:extLst>
              <a:ext uri="{FF2B5EF4-FFF2-40B4-BE49-F238E27FC236}">
                <a16:creationId xmlns:a16="http://schemas.microsoft.com/office/drawing/2014/main" id="{3A121BE3-BF84-AC6D-21AC-673E6E2F0C96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3" name="AutoShape 42">
            <a:extLst>
              <a:ext uri="{FF2B5EF4-FFF2-40B4-BE49-F238E27FC236}">
                <a16:creationId xmlns:a16="http://schemas.microsoft.com/office/drawing/2014/main" id="{722854A4-06BA-DCCF-0F14-3D080C2C79C9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4" name="AutoShape 43">
            <a:extLst>
              <a:ext uri="{FF2B5EF4-FFF2-40B4-BE49-F238E27FC236}">
                <a16:creationId xmlns:a16="http://schemas.microsoft.com/office/drawing/2014/main" id="{EC39731F-EB6D-A4FB-AA30-CB26B60FC445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" name="AutoShape 44">
            <a:extLst>
              <a:ext uri="{FF2B5EF4-FFF2-40B4-BE49-F238E27FC236}">
                <a16:creationId xmlns:a16="http://schemas.microsoft.com/office/drawing/2014/main" id="{B7F0E019-3157-A712-2406-AFC252C885CF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" name="AutoShape 45">
            <a:extLst>
              <a:ext uri="{FF2B5EF4-FFF2-40B4-BE49-F238E27FC236}">
                <a16:creationId xmlns:a16="http://schemas.microsoft.com/office/drawing/2014/main" id="{FA9DF2EF-DB80-8448-08A4-B988FD029A92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s-VE"/>
          </a:p>
        </xdr:txBody>
      </xdr:sp>
    </xdr:grpSp>
    <xdr:clientData/>
  </xdr:twoCellAnchor>
  <xdr:twoCellAnchor>
    <xdr:from>
      <xdr:col>1</xdr:col>
      <xdr:colOff>358140</xdr:colOff>
      <xdr:row>18</xdr:row>
      <xdr:rowOff>15240</xdr:rowOff>
    </xdr:from>
    <xdr:to>
      <xdr:col>1</xdr:col>
      <xdr:colOff>739140</xdr:colOff>
      <xdr:row>19</xdr:row>
      <xdr:rowOff>3810</xdr:rowOff>
    </xdr:to>
    <xdr:grpSp>
      <xdr:nvGrpSpPr>
        <xdr:cNvPr id="174" name="Group 46">
          <a:extLst>
            <a:ext uri="{FF2B5EF4-FFF2-40B4-BE49-F238E27FC236}">
              <a16:creationId xmlns:a16="http://schemas.microsoft.com/office/drawing/2014/main" id="{551F9827-EAB5-4EAA-A6AF-7AEB21F78073}"/>
            </a:ext>
          </a:extLst>
        </xdr:cNvPr>
        <xdr:cNvGrpSpPr>
          <a:grpSpLocks/>
        </xdr:cNvGrpSpPr>
      </xdr:nvGrpSpPr>
      <xdr:grpSpPr bwMode="auto">
        <a:xfrm>
          <a:off x="1150620" y="3291840"/>
          <a:ext cx="381000" cy="209550"/>
          <a:chOff x="216" y="418"/>
          <a:chExt cx="71" cy="51"/>
        </a:xfrm>
      </xdr:grpSpPr>
      <xdr:sp macro="" textlink="">
        <xdr:nvSpPr>
          <xdr:cNvPr id="175" name="Rectangle 47">
            <a:extLst>
              <a:ext uri="{FF2B5EF4-FFF2-40B4-BE49-F238E27FC236}">
                <a16:creationId xmlns:a16="http://schemas.microsoft.com/office/drawing/2014/main" id="{CA6BAE66-BEE7-8009-8F64-E52ADDB1A636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1" name="Rectangle 48">
            <a:extLst>
              <a:ext uri="{FF2B5EF4-FFF2-40B4-BE49-F238E27FC236}">
                <a16:creationId xmlns:a16="http://schemas.microsoft.com/office/drawing/2014/main" id="{B9EF5F6D-9D88-D215-ECFE-D0BA7C9A02E7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2" name="AutoShape 49">
            <a:extLst>
              <a:ext uri="{FF2B5EF4-FFF2-40B4-BE49-F238E27FC236}">
                <a16:creationId xmlns:a16="http://schemas.microsoft.com/office/drawing/2014/main" id="{AC2BDB1F-27E0-11B3-F60D-07E7838392C3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3" name="AutoShape 50">
            <a:extLst>
              <a:ext uri="{FF2B5EF4-FFF2-40B4-BE49-F238E27FC236}">
                <a16:creationId xmlns:a16="http://schemas.microsoft.com/office/drawing/2014/main" id="{D6AD1BB4-FF4D-896D-1547-411F38D57AA4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4" name="AutoShape 51">
            <a:extLst>
              <a:ext uri="{FF2B5EF4-FFF2-40B4-BE49-F238E27FC236}">
                <a16:creationId xmlns:a16="http://schemas.microsoft.com/office/drawing/2014/main" id="{6300A889-C5DD-8966-6B0D-E82C1F8E7819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5" name="AutoShape 52">
            <a:extLst>
              <a:ext uri="{FF2B5EF4-FFF2-40B4-BE49-F238E27FC236}">
                <a16:creationId xmlns:a16="http://schemas.microsoft.com/office/drawing/2014/main" id="{358F6229-3943-884F-972B-37DA64EC3B89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1" name="AutoShape 53">
            <a:extLst>
              <a:ext uri="{FF2B5EF4-FFF2-40B4-BE49-F238E27FC236}">
                <a16:creationId xmlns:a16="http://schemas.microsoft.com/office/drawing/2014/main" id="{468C528F-58E0-A4CC-017A-14A24B45ED59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167640</xdr:colOff>
      <xdr:row>12</xdr:row>
      <xdr:rowOff>152400</xdr:rowOff>
    </xdr:from>
    <xdr:to>
      <xdr:col>15</xdr:col>
      <xdr:colOff>205740</xdr:colOff>
      <xdr:row>16</xdr:row>
      <xdr:rowOff>86868</xdr:rowOff>
    </xdr:to>
    <xdr:sp macro="" textlink="">
      <xdr:nvSpPr>
        <xdr:cNvPr id="193" name="Bocadillo nube: nube 192">
          <a:extLst>
            <a:ext uri="{FF2B5EF4-FFF2-40B4-BE49-F238E27FC236}">
              <a16:creationId xmlns:a16="http://schemas.microsoft.com/office/drawing/2014/main" id="{E5431E0F-698B-C60D-3272-63C87B24B8BB}"/>
            </a:ext>
          </a:extLst>
        </xdr:cNvPr>
        <xdr:cNvSpPr/>
      </xdr:nvSpPr>
      <xdr:spPr>
        <a:xfrm>
          <a:off x="11788140" y="2301240"/>
          <a:ext cx="914400" cy="612648"/>
        </a:xfrm>
        <a:prstGeom prst="cloud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9</xdr:row>
      <xdr:rowOff>152400</xdr:rowOff>
    </xdr:from>
    <xdr:to>
      <xdr:col>2</xdr:col>
      <xdr:colOff>350520</xdr:colOff>
      <xdr:row>13</xdr:row>
      <xdr:rowOff>0</xdr:rowOff>
    </xdr:to>
    <xdr:grpSp>
      <xdr:nvGrpSpPr>
        <xdr:cNvPr id="26" name="Group 46">
          <a:extLst>
            <a:ext uri="{FF2B5EF4-FFF2-40B4-BE49-F238E27FC236}">
              <a16:creationId xmlns:a16="http://schemas.microsoft.com/office/drawing/2014/main" id="{D79CD6BA-BA50-494B-A301-ACACBEF10463}"/>
            </a:ext>
          </a:extLst>
        </xdr:cNvPr>
        <xdr:cNvGrpSpPr>
          <a:grpSpLocks/>
        </xdr:cNvGrpSpPr>
      </xdr:nvGrpSpPr>
      <xdr:grpSpPr bwMode="auto">
        <a:xfrm flipH="1">
          <a:off x="1249680" y="2110740"/>
          <a:ext cx="685800" cy="541020"/>
          <a:chOff x="216" y="418"/>
          <a:chExt cx="71" cy="51"/>
        </a:xfrm>
      </xdr:grpSpPr>
      <xdr:sp macro="" textlink="">
        <xdr:nvSpPr>
          <xdr:cNvPr id="27" name="Rectangle 47">
            <a:extLst>
              <a:ext uri="{FF2B5EF4-FFF2-40B4-BE49-F238E27FC236}">
                <a16:creationId xmlns:a16="http://schemas.microsoft.com/office/drawing/2014/main" id="{2ADE1B3B-255E-B305-994B-741EB556961A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" name="Rectangle 48">
            <a:extLst>
              <a:ext uri="{FF2B5EF4-FFF2-40B4-BE49-F238E27FC236}">
                <a16:creationId xmlns:a16="http://schemas.microsoft.com/office/drawing/2014/main" id="{4A841D41-1F5E-825B-DAA3-351445D09D35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" name="AutoShape 49">
            <a:extLst>
              <a:ext uri="{FF2B5EF4-FFF2-40B4-BE49-F238E27FC236}">
                <a16:creationId xmlns:a16="http://schemas.microsoft.com/office/drawing/2014/main" id="{7A7C9FAB-CECE-9E7A-6382-5A7DEFA0044E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0" name="AutoShape 50">
            <a:extLst>
              <a:ext uri="{FF2B5EF4-FFF2-40B4-BE49-F238E27FC236}">
                <a16:creationId xmlns:a16="http://schemas.microsoft.com/office/drawing/2014/main" id="{F3CD9E37-BBEE-F60F-2D8A-9FAFC77A5CE1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AutoShape 51">
            <a:extLst>
              <a:ext uri="{FF2B5EF4-FFF2-40B4-BE49-F238E27FC236}">
                <a16:creationId xmlns:a16="http://schemas.microsoft.com/office/drawing/2014/main" id="{51E4BBF2-082C-B5C0-3656-B6BC65ED8C16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AutoShape 52">
            <a:extLst>
              <a:ext uri="{FF2B5EF4-FFF2-40B4-BE49-F238E27FC236}">
                <a16:creationId xmlns:a16="http://schemas.microsoft.com/office/drawing/2014/main" id="{CD5AFA28-DC2F-DF5E-EF21-5A96B7B2CF21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3" name="AutoShape 53">
            <a:extLst>
              <a:ext uri="{FF2B5EF4-FFF2-40B4-BE49-F238E27FC236}">
                <a16:creationId xmlns:a16="http://schemas.microsoft.com/office/drawing/2014/main" id="{34E617B0-B490-EE2C-1863-FA43403BB627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0</xdr:colOff>
      <xdr:row>17</xdr:row>
      <xdr:rowOff>0</xdr:rowOff>
    </xdr:from>
    <xdr:to>
      <xdr:col>1</xdr:col>
      <xdr:colOff>361950</xdr:colOff>
      <xdr:row>18</xdr:row>
      <xdr:rowOff>41910</xdr:rowOff>
    </xdr:to>
    <xdr:grpSp>
      <xdr:nvGrpSpPr>
        <xdr:cNvPr id="34" name="Group 60">
          <a:extLst>
            <a:ext uri="{FF2B5EF4-FFF2-40B4-BE49-F238E27FC236}">
              <a16:creationId xmlns:a16="http://schemas.microsoft.com/office/drawing/2014/main" id="{FC23F2DD-AB37-4F35-80B9-14BAD216FF16}"/>
            </a:ext>
          </a:extLst>
        </xdr:cNvPr>
        <xdr:cNvGrpSpPr>
          <a:grpSpLocks/>
        </xdr:cNvGrpSpPr>
      </xdr:nvGrpSpPr>
      <xdr:grpSpPr bwMode="auto">
        <a:xfrm>
          <a:off x="792480" y="3451860"/>
          <a:ext cx="361950" cy="217170"/>
          <a:chOff x="1860" y="222"/>
          <a:chExt cx="159" cy="139"/>
        </a:xfrm>
      </xdr:grpSpPr>
      <xdr:sp macro="" textlink="">
        <xdr:nvSpPr>
          <xdr:cNvPr id="35" name="AutoShape 61">
            <a:extLst>
              <a:ext uri="{FF2B5EF4-FFF2-40B4-BE49-F238E27FC236}">
                <a16:creationId xmlns:a16="http://schemas.microsoft.com/office/drawing/2014/main" id="{1EBB476D-FA8B-1289-E2E3-2FEC230ECD91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6" name="Line 62">
            <a:extLst>
              <a:ext uri="{FF2B5EF4-FFF2-40B4-BE49-F238E27FC236}">
                <a16:creationId xmlns:a16="http://schemas.microsoft.com/office/drawing/2014/main" id="{E2B5EE41-B1BE-ADE2-0976-269401B8CDE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7" name="Line 63">
            <a:extLst>
              <a:ext uri="{FF2B5EF4-FFF2-40B4-BE49-F238E27FC236}">
                <a16:creationId xmlns:a16="http://schemas.microsoft.com/office/drawing/2014/main" id="{964C1EF5-F644-2919-8625-4DF6027BD231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8" name="Line 64">
            <a:extLst>
              <a:ext uri="{FF2B5EF4-FFF2-40B4-BE49-F238E27FC236}">
                <a16:creationId xmlns:a16="http://schemas.microsoft.com/office/drawing/2014/main" id="{39F61CAD-7155-2041-43CF-7085FA280E45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0</xdr:colOff>
      <xdr:row>6</xdr:row>
      <xdr:rowOff>0</xdr:rowOff>
    </xdr:from>
    <xdr:to>
      <xdr:col>1</xdr:col>
      <xdr:colOff>0</xdr:colOff>
      <xdr:row>7</xdr:row>
      <xdr:rowOff>72390</xdr:rowOff>
    </xdr:to>
    <xdr:grpSp>
      <xdr:nvGrpSpPr>
        <xdr:cNvPr id="39" name="Group 10">
          <a:extLst>
            <a:ext uri="{FF2B5EF4-FFF2-40B4-BE49-F238E27FC236}">
              <a16:creationId xmlns:a16="http://schemas.microsoft.com/office/drawing/2014/main" id="{074E9BFF-946B-439E-816F-D7246924D4EB}"/>
            </a:ext>
          </a:extLst>
        </xdr:cNvPr>
        <xdr:cNvGrpSpPr>
          <a:grpSpLocks/>
        </xdr:cNvGrpSpPr>
      </xdr:nvGrpSpPr>
      <xdr:grpSpPr bwMode="auto">
        <a:xfrm>
          <a:off x="792480" y="1104900"/>
          <a:ext cx="0" cy="308610"/>
          <a:chOff x="267" y="335"/>
          <a:chExt cx="150" cy="88"/>
        </a:xfrm>
      </xdr:grpSpPr>
      <xdr:sp macro="" textlink="">
        <xdr:nvSpPr>
          <xdr:cNvPr id="40" name="Rectangle 11">
            <a:extLst>
              <a:ext uri="{FF2B5EF4-FFF2-40B4-BE49-F238E27FC236}">
                <a16:creationId xmlns:a16="http://schemas.microsoft.com/office/drawing/2014/main" id="{75B5A581-967E-42B6-388E-B3A8C68A11BB}"/>
              </a:ext>
            </a:extLst>
          </xdr:cNvPr>
          <xdr:cNvSpPr>
            <a:spLocks noChangeArrowheads="1"/>
          </xdr:cNvSpPr>
        </xdr:nvSpPr>
        <xdr:spPr bwMode="auto">
          <a:xfrm>
            <a:off x="268" y="351"/>
            <a:ext cx="149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1" name="AutoShape 12">
            <a:extLst>
              <a:ext uri="{FF2B5EF4-FFF2-40B4-BE49-F238E27FC236}">
                <a16:creationId xmlns:a16="http://schemas.microsoft.com/office/drawing/2014/main" id="{698AEE15-5296-3F96-2B7C-95CD817AB91F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2" name="AutoShape 13">
            <a:extLst>
              <a:ext uri="{FF2B5EF4-FFF2-40B4-BE49-F238E27FC236}">
                <a16:creationId xmlns:a16="http://schemas.microsoft.com/office/drawing/2014/main" id="{5082D2C7-53D4-BE6D-5428-AB7C4A3ECAC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3" name="AutoShape 14">
            <a:extLst>
              <a:ext uri="{FF2B5EF4-FFF2-40B4-BE49-F238E27FC236}">
                <a16:creationId xmlns:a16="http://schemas.microsoft.com/office/drawing/2014/main" id="{455FE7B5-41EC-2CAC-F32F-743C0077598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4" name="AutoShape 15">
            <a:extLst>
              <a:ext uri="{FF2B5EF4-FFF2-40B4-BE49-F238E27FC236}">
                <a16:creationId xmlns:a16="http://schemas.microsoft.com/office/drawing/2014/main" id="{20650CE6-0AFA-4062-700F-33C338EEF2AA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5" name="AutoShape 16">
            <a:extLst>
              <a:ext uri="{FF2B5EF4-FFF2-40B4-BE49-F238E27FC236}">
                <a16:creationId xmlns:a16="http://schemas.microsoft.com/office/drawing/2014/main" id="{D97DA460-4258-EC92-ADD5-DD9DE169119C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6" name="AutoShape 17">
            <a:extLst>
              <a:ext uri="{FF2B5EF4-FFF2-40B4-BE49-F238E27FC236}">
                <a16:creationId xmlns:a16="http://schemas.microsoft.com/office/drawing/2014/main" id="{EE4E1DE4-3814-F2D4-D6D2-8EC72C42024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0</xdr:colOff>
      <xdr:row>3</xdr:row>
      <xdr:rowOff>53340</xdr:rowOff>
    </xdr:from>
    <xdr:to>
      <xdr:col>2</xdr:col>
      <xdr:colOff>251460</xdr:colOff>
      <xdr:row>8</xdr:row>
      <xdr:rowOff>22860</xdr:rowOff>
    </xdr:to>
    <xdr:grpSp>
      <xdr:nvGrpSpPr>
        <xdr:cNvPr id="55" name="Group 10">
          <a:extLst>
            <a:ext uri="{FF2B5EF4-FFF2-40B4-BE49-F238E27FC236}">
              <a16:creationId xmlns:a16="http://schemas.microsoft.com/office/drawing/2014/main" id="{61BC5C0D-8532-4696-A58F-8400F46D7E9E}"/>
            </a:ext>
          </a:extLst>
        </xdr:cNvPr>
        <xdr:cNvGrpSpPr>
          <a:grpSpLocks/>
        </xdr:cNvGrpSpPr>
      </xdr:nvGrpSpPr>
      <xdr:grpSpPr bwMode="auto">
        <a:xfrm>
          <a:off x="792480" y="563880"/>
          <a:ext cx="1043940" cy="1021080"/>
          <a:chOff x="267" y="335"/>
          <a:chExt cx="150" cy="96"/>
        </a:xfrm>
      </xdr:grpSpPr>
      <xdr:sp macro="" textlink="">
        <xdr:nvSpPr>
          <xdr:cNvPr id="56" name="Rectangle 11">
            <a:extLst>
              <a:ext uri="{FF2B5EF4-FFF2-40B4-BE49-F238E27FC236}">
                <a16:creationId xmlns:a16="http://schemas.microsoft.com/office/drawing/2014/main" id="{E6346095-B6FF-96D6-2D79-B37E7C8F27CA}"/>
              </a:ext>
            </a:extLst>
          </xdr:cNvPr>
          <xdr:cNvSpPr>
            <a:spLocks noChangeArrowheads="1"/>
          </xdr:cNvSpPr>
        </xdr:nvSpPr>
        <xdr:spPr bwMode="auto">
          <a:xfrm>
            <a:off x="268" y="351"/>
            <a:ext cx="149" cy="8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/>
          <a:lstStyle/>
          <a:p>
            <a:r>
              <a:rPr lang="es-VE" sz="1200" b="1"/>
              <a:t>Proveedor,</a:t>
            </a:r>
            <a:r>
              <a:rPr lang="es-VE" sz="1200" b="1" baseline="0"/>
              <a:t> Plantas</a:t>
            </a:r>
            <a:r>
              <a:rPr lang="es-VE" sz="1200" b="1"/>
              <a:t>,</a:t>
            </a:r>
            <a:r>
              <a:rPr lang="es-VE" sz="1200" b="1" baseline="0"/>
              <a:t> Patio </a:t>
            </a:r>
            <a:r>
              <a:rPr lang="es-VE" sz="1200" b="1"/>
              <a:t>y Anden</a:t>
            </a:r>
          </a:p>
        </xdr:txBody>
      </xdr:sp>
      <xdr:sp macro="" textlink="">
        <xdr:nvSpPr>
          <xdr:cNvPr id="57" name="AutoShape 12">
            <a:extLst>
              <a:ext uri="{FF2B5EF4-FFF2-40B4-BE49-F238E27FC236}">
                <a16:creationId xmlns:a16="http://schemas.microsoft.com/office/drawing/2014/main" id="{B7D3114F-E34A-FB4D-68C0-C6D7B294A06C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8" name="AutoShape 13">
            <a:extLst>
              <a:ext uri="{FF2B5EF4-FFF2-40B4-BE49-F238E27FC236}">
                <a16:creationId xmlns:a16="http://schemas.microsoft.com/office/drawing/2014/main" id="{6BE5A615-33D6-77B7-A4C0-B1E7D93699B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9" name="AutoShape 14">
            <a:extLst>
              <a:ext uri="{FF2B5EF4-FFF2-40B4-BE49-F238E27FC236}">
                <a16:creationId xmlns:a16="http://schemas.microsoft.com/office/drawing/2014/main" id="{041EE58C-DAA1-287E-D2BC-450783EBBEAE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0" name="AutoShape 15">
            <a:extLst>
              <a:ext uri="{FF2B5EF4-FFF2-40B4-BE49-F238E27FC236}">
                <a16:creationId xmlns:a16="http://schemas.microsoft.com/office/drawing/2014/main" id="{3FE8BE94-5F9E-46F5-0164-A7733B121016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1" name="AutoShape 16">
            <a:extLst>
              <a:ext uri="{FF2B5EF4-FFF2-40B4-BE49-F238E27FC236}">
                <a16:creationId xmlns:a16="http://schemas.microsoft.com/office/drawing/2014/main" id="{B738DFFC-8F96-D381-A9AD-7181CA33CB4B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2" name="AutoShape 17">
            <a:extLst>
              <a:ext uri="{FF2B5EF4-FFF2-40B4-BE49-F238E27FC236}">
                <a16:creationId xmlns:a16="http://schemas.microsoft.com/office/drawing/2014/main" id="{25663031-A723-D8DB-A4E2-C83105ADEED4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</xdr:col>
      <xdr:colOff>47625</xdr:colOff>
      <xdr:row>16</xdr:row>
      <xdr:rowOff>38100</xdr:rowOff>
    </xdr:from>
    <xdr:to>
      <xdr:col>2</xdr:col>
      <xdr:colOff>266700</xdr:colOff>
      <xdr:row>16</xdr:row>
      <xdr:rowOff>165735</xdr:rowOff>
    </xdr:to>
    <xdr:grpSp>
      <xdr:nvGrpSpPr>
        <xdr:cNvPr id="66" name="Group 102">
          <a:extLst>
            <a:ext uri="{FF2B5EF4-FFF2-40B4-BE49-F238E27FC236}">
              <a16:creationId xmlns:a16="http://schemas.microsoft.com/office/drawing/2014/main" id="{CB799F8C-9505-4A79-9784-A1C76F8F2D9C}"/>
            </a:ext>
          </a:extLst>
        </xdr:cNvPr>
        <xdr:cNvGrpSpPr>
          <a:grpSpLocks/>
        </xdr:cNvGrpSpPr>
      </xdr:nvGrpSpPr>
      <xdr:grpSpPr bwMode="auto">
        <a:xfrm>
          <a:off x="1632585" y="3268980"/>
          <a:ext cx="219075" cy="127635"/>
          <a:chOff x="304" y="241"/>
          <a:chExt cx="29" cy="29"/>
        </a:xfrm>
      </xdr:grpSpPr>
      <xdr:sp macro="" textlink="">
        <xdr:nvSpPr>
          <xdr:cNvPr id="67" name="Oval 103">
            <a:extLst>
              <a:ext uri="{FF2B5EF4-FFF2-40B4-BE49-F238E27FC236}">
                <a16:creationId xmlns:a16="http://schemas.microsoft.com/office/drawing/2014/main" id="{E00544BC-559B-7C85-3F22-DFB1AEDBF1D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68" name="AutoShape 104">
            <a:extLst>
              <a:ext uri="{FF2B5EF4-FFF2-40B4-BE49-F238E27FC236}">
                <a16:creationId xmlns:a16="http://schemas.microsoft.com/office/drawing/2014/main" id="{836CC54B-EB37-B084-E9CB-7FB29C6677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219075</xdr:rowOff>
    </xdr:to>
    <xdr:grpSp>
      <xdr:nvGrpSpPr>
        <xdr:cNvPr id="72" name="Group 102">
          <a:extLst>
            <a:ext uri="{FF2B5EF4-FFF2-40B4-BE49-F238E27FC236}">
              <a16:creationId xmlns:a16="http://schemas.microsoft.com/office/drawing/2014/main" id="{1C781313-FDB4-4284-8CAA-EB5C042375FE}"/>
            </a:ext>
          </a:extLst>
        </xdr:cNvPr>
        <xdr:cNvGrpSpPr>
          <a:grpSpLocks/>
        </xdr:cNvGrpSpPr>
      </xdr:nvGrpSpPr>
      <xdr:grpSpPr bwMode="auto">
        <a:xfrm>
          <a:off x="4010025" y="3268980"/>
          <a:ext cx="219075" cy="180975"/>
          <a:chOff x="304" y="241"/>
          <a:chExt cx="29" cy="29"/>
        </a:xfrm>
      </xdr:grpSpPr>
      <xdr:sp macro="" textlink="">
        <xdr:nvSpPr>
          <xdr:cNvPr id="73" name="Oval 103">
            <a:extLst>
              <a:ext uri="{FF2B5EF4-FFF2-40B4-BE49-F238E27FC236}">
                <a16:creationId xmlns:a16="http://schemas.microsoft.com/office/drawing/2014/main" id="{7C953EC0-3CDC-A5A6-FA48-484AA2714F7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4" name="AutoShape 104">
            <a:extLst>
              <a:ext uri="{FF2B5EF4-FFF2-40B4-BE49-F238E27FC236}">
                <a16:creationId xmlns:a16="http://schemas.microsoft.com/office/drawing/2014/main" id="{56AC7049-204F-E648-7509-DD7DC945AA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</xdr:col>
      <xdr:colOff>47625</xdr:colOff>
      <xdr:row>16</xdr:row>
      <xdr:rowOff>38100</xdr:rowOff>
    </xdr:from>
    <xdr:to>
      <xdr:col>8</xdr:col>
      <xdr:colOff>266700</xdr:colOff>
      <xdr:row>16</xdr:row>
      <xdr:rowOff>219075</xdr:rowOff>
    </xdr:to>
    <xdr:grpSp>
      <xdr:nvGrpSpPr>
        <xdr:cNvPr id="78" name="Group 102">
          <a:extLst>
            <a:ext uri="{FF2B5EF4-FFF2-40B4-BE49-F238E27FC236}">
              <a16:creationId xmlns:a16="http://schemas.microsoft.com/office/drawing/2014/main" id="{5BF47C11-9900-443B-BBF6-A25ED2D7FECD}"/>
            </a:ext>
          </a:extLst>
        </xdr:cNvPr>
        <xdr:cNvGrpSpPr>
          <a:grpSpLocks/>
        </xdr:cNvGrpSpPr>
      </xdr:nvGrpSpPr>
      <xdr:grpSpPr bwMode="auto">
        <a:xfrm>
          <a:off x="6798945" y="3268980"/>
          <a:ext cx="219075" cy="180975"/>
          <a:chOff x="304" y="241"/>
          <a:chExt cx="29" cy="29"/>
        </a:xfrm>
      </xdr:grpSpPr>
      <xdr:sp macro="" textlink="">
        <xdr:nvSpPr>
          <xdr:cNvPr id="79" name="Oval 103">
            <a:extLst>
              <a:ext uri="{FF2B5EF4-FFF2-40B4-BE49-F238E27FC236}">
                <a16:creationId xmlns:a16="http://schemas.microsoft.com/office/drawing/2014/main" id="{7C68639E-6F1D-5300-46D2-3E9B237588B8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0" name="AutoShape 104">
            <a:extLst>
              <a:ext uri="{FF2B5EF4-FFF2-40B4-BE49-F238E27FC236}">
                <a16:creationId xmlns:a16="http://schemas.microsoft.com/office/drawing/2014/main" id="{ABDEEC97-9EF2-6EFE-6EEF-B895722038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11</xdr:col>
      <xdr:colOff>47625</xdr:colOff>
      <xdr:row>16</xdr:row>
      <xdr:rowOff>38100</xdr:rowOff>
    </xdr:from>
    <xdr:to>
      <xdr:col>11</xdr:col>
      <xdr:colOff>266700</xdr:colOff>
      <xdr:row>16</xdr:row>
      <xdr:rowOff>219075</xdr:rowOff>
    </xdr:to>
    <xdr:grpSp>
      <xdr:nvGrpSpPr>
        <xdr:cNvPr id="84" name="Group 102">
          <a:extLst>
            <a:ext uri="{FF2B5EF4-FFF2-40B4-BE49-F238E27FC236}">
              <a16:creationId xmlns:a16="http://schemas.microsoft.com/office/drawing/2014/main" id="{BC3F69C6-A5B7-4C43-9A64-38CC479FFA5F}"/>
            </a:ext>
          </a:extLst>
        </xdr:cNvPr>
        <xdr:cNvGrpSpPr>
          <a:grpSpLocks/>
        </xdr:cNvGrpSpPr>
      </xdr:nvGrpSpPr>
      <xdr:grpSpPr bwMode="auto">
        <a:xfrm>
          <a:off x="9450705" y="3268980"/>
          <a:ext cx="219075" cy="180975"/>
          <a:chOff x="304" y="241"/>
          <a:chExt cx="29" cy="29"/>
        </a:xfrm>
      </xdr:grpSpPr>
      <xdr:sp macro="" textlink="">
        <xdr:nvSpPr>
          <xdr:cNvPr id="85" name="Oval 103">
            <a:extLst>
              <a:ext uri="{FF2B5EF4-FFF2-40B4-BE49-F238E27FC236}">
                <a16:creationId xmlns:a16="http://schemas.microsoft.com/office/drawing/2014/main" id="{9269EF19-409B-143A-795B-3C1C3FDD4317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6" name="AutoShape 104">
            <a:extLst>
              <a:ext uri="{FF2B5EF4-FFF2-40B4-BE49-F238E27FC236}">
                <a16:creationId xmlns:a16="http://schemas.microsoft.com/office/drawing/2014/main" id="{217AA21B-F0BE-94A9-06B1-0112A904BA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47625</xdr:colOff>
      <xdr:row>16</xdr:row>
      <xdr:rowOff>38100</xdr:rowOff>
    </xdr:from>
    <xdr:to>
      <xdr:col>15</xdr:col>
      <xdr:colOff>266700</xdr:colOff>
      <xdr:row>16</xdr:row>
      <xdr:rowOff>219075</xdr:rowOff>
    </xdr:to>
    <xdr:grpSp>
      <xdr:nvGrpSpPr>
        <xdr:cNvPr id="87" name="Group 102">
          <a:extLst>
            <a:ext uri="{FF2B5EF4-FFF2-40B4-BE49-F238E27FC236}">
              <a16:creationId xmlns:a16="http://schemas.microsoft.com/office/drawing/2014/main" id="{F25C3C30-4D88-401B-88D1-83A3991284AD}"/>
            </a:ext>
          </a:extLst>
        </xdr:cNvPr>
        <xdr:cNvGrpSpPr>
          <a:grpSpLocks/>
        </xdr:cNvGrpSpPr>
      </xdr:nvGrpSpPr>
      <xdr:grpSpPr bwMode="auto">
        <a:xfrm>
          <a:off x="12673965" y="3268980"/>
          <a:ext cx="219075" cy="180975"/>
          <a:chOff x="304" y="241"/>
          <a:chExt cx="29" cy="29"/>
        </a:xfrm>
      </xdr:grpSpPr>
      <xdr:sp macro="" textlink="">
        <xdr:nvSpPr>
          <xdr:cNvPr id="88" name="Oval 103">
            <a:extLst>
              <a:ext uri="{FF2B5EF4-FFF2-40B4-BE49-F238E27FC236}">
                <a16:creationId xmlns:a16="http://schemas.microsoft.com/office/drawing/2014/main" id="{24A449E2-0670-6540-1D2F-EA5207606943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9" name="AutoShape 104">
            <a:extLst>
              <a:ext uri="{FF2B5EF4-FFF2-40B4-BE49-F238E27FC236}">
                <a16:creationId xmlns:a16="http://schemas.microsoft.com/office/drawing/2014/main" id="{14B5931D-A92B-63CA-88F3-F4776B0292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647700</xdr:colOff>
      <xdr:row>16</xdr:row>
      <xdr:rowOff>167640</xdr:rowOff>
    </xdr:from>
    <xdr:to>
      <xdr:col>14</xdr:col>
      <xdr:colOff>236220</xdr:colOff>
      <xdr:row>17</xdr:row>
      <xdr:rowOff>156210</xdr:rowOff>
    </xdr:to>
    <xdr:grpSp>
      <xdr:nvGrpSpPr>
        <xdr:cNvPr id="90" name="Group 46">
          <a:extLst>
            <a:ext uri="{FF2B5EF4-FFF2-40B4-BE49-F238E27FC236}">
              <a16:creationId xmlns:a16="http://schemas.microsoft.com/office/drawing/2014/main" id="{1C90016C-5905-463E-A4EC-D8AA4F1E2B34}"/>
            </a:ext>
          </a:extLst>
        </xdr:cNvPr>
        <xdr:cNvGrpSpPr>
          <a:grpSpLocks/>
        </xdr:cNvGrpSpPr>
      </xdr:nvGrpSpPr>
      <xdr:grpSpPr bwMode="auto">
        <a:xfrm>
          <a:off x="11689080" y="3398520"/>
          <a:ext cx="381000" cy="209550"/>
          <a:chOff x="216" y="418"/>
          <a:chExt cx="71" cy="51"/>
        </a:xfrm>
      </xdr:grpSpPr>
      <xdr:sp macro="" textlink="">
        <xdr:nvSpPr>
          <xdr:cNvPr id="91" name="Rectangle 47">
            <a:extLst>
              <a:ext uri="{FF2B5EF4-FFF2-40B4-BE49-F238E27FC236}">
                <a16:creationId xmlns:a16="http://schemas.microsoft.com/office/drawing/2014/main" id="{B7EF7414-B33D-93CC-1167-2514C969B589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2" name="Rectangle 48">
            <a:extLst>
              <a:ext uri="{FF2B5EF4-FFF2-40B4-BE49-F238E27FC236}">
                <a16:creationId xmlns:a16="http://schemas.microsoft.com/office/drawing/2014/main" id="{11737FD0-2287-8FA7-58AA-B680C61F1CAC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3" name="AutoShape 49">
            <a:extLst>
              <a:ext uri="{FF2B5EF4-FFF2-40B4-BE49-F238E27FC236}">
                <a16:creationId xmlns:a16="http://schemas.microsoft.com/office/drawing/2014/main" id="{12E4E5A1-2A5E-E3B9-FED2-3A628E591E8D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4" name="AutoShape 50">
            <a:extLst>
              <a:ext uri="{FF2B5EF4-FFF2-40B4-BE49-F238E27FC236}">
                <a16:creationId xmlns:a16="http://schemas.microsoft.com/office/drawing/2014/main" id="{2224E633-5E7F-531E-0E95-3494F984ED6B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5" name="AutoShape 51">
            <a:extLst>
              <a:ext uri="{FF2B5EF4-FFF2-40B4-BE49-F238E27FC236}">
                <a16:creationId xmlns:a16="http://schemas.microsoft.com/office/drawing/2014/main" id="{821EF1D5-9214-953A-6E33-485C0B0B2D5A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6" name="AutoShape 52">
            <a:extLst>
              <a:ext uri="{FF2B5EF4-FFF2-40B4-BE49-F238E27FC236}">
                <a16:creationId xmlns:a16="http://schemas.microsoft.com/office/drawing/2014/main" id="{4C7F4A23-6437-DEFC-76B3-9BD8961DFA1C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7" name="AutoShape 53">
            <a:extLst>
              <a:ext uri="{FF2B5EF4-FFF2-40B4-BE49-F238E27FC236}">
                <a16:creationId xmlns:a16="http://schemas.microsoft.com/office/drawing/2014/main" id="{8C77AB7D-C383-3644-A127-C8FDFC20CFFF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434340</xdr:colOff>
      <xdr:row>4</xdr:row>
      <xdr:rowOff>7620</xdr:rowOff>
    </xdr:from>
    <xdr:to>
      <xdr:col>16</xdr:col>
      <xdr:colOff>784860</xdr:colOff>
      <xdr:row>7</xdr:row>
      <xdr:rowOff>137160</xdr:rowOff>
    </xdr:to>
    <xdr:grpSp>
      <xdr:nvGrpSpPr>
        <xdr:cNvPr id="106" name="Group 10">
          <a:extLst>
            <a:ext uri="{FF2B5EF4-FFF2-40B4-BE49-F238E27FC236}">
              <a16:creationId xmlns:a16="http://schemas.microsoft.com/office/drawing/2014/main" id="{EDD3ABA8-3C52-464B-B5F4-6E4E7CD4B3FF}"/>
            </a:ext>
          </a:extLst>
        </xdr:cNvPr>
        <xdr:cNvGrpSpPr>
          <a:grpSpLocks/>
        </xdr:cNvGrpSpPr>
      </xdr:nvGrpSpPr>
      <xdr:grpSpPr bwMode="auto">
        <a:xfrm>
          <a:off x="13060680" y="701040"/>
          <a:ext cx="1143000" cy="777240"/>
          <a:chOff x="267" y="335"/>
          <a:chExt cx="150" cy="88"/>
        </a:xfrm>
      </xdr:grpSpPr>
      <xdr:sp macro="" textlink="">
        <xdr:nvSpPr>
          <xdr:cNvPr id="107" name="Rectangle 11">
            <a:extLst>
              <a:ext uri="{FF2B5EF4-FFF2-40B4-BE49-F238E27FC236}">
                <a16:creationId xmlns:a16="http://schemas.microsoft.com/office/drawing/2014/main" id="{9D7301FA-B0AB-1265-CF14-6E98DBB8D3AC}"/>
              </a:ext>
            </a:extLst>
          </xdr:cNvPr>
          <xdr:cNvSpPr>
            <a:spLocks noChangeArrowheads="1"/>
          </xdr:cNvSpPr>
        </xdr:nvSpPr>
        <xdr:spPr bwMode="auto">
          <a:xfrm>
            <a:off x="268" y="351"/>
            <a:ext cx="149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/>
          <a:lstStyle/>
          <a:p>
            <a:pPr algn="ctr"/>
            <a:r>
              <a:rPr lang="es-VE" sz="1600" b="1"/>
              <a:t>Cliente</a:t>
            </a:r>
          </a:p>
        </xdr:txBody>
      </xdr:sp>
      <xdr:sp macro="" textlink="">
        <xdr:nvSpPr>
          <xdr:cNvPr id="108" name="AutoShape 12">
            <a:extLst>
              <a:ext uri="{FF2B5EF4-FFF2-40B4-BE49-F238E27FC236}">
                <a16:creationId xmlns:a16="http://schemas.microsoft.com/office/drawing/2014/main" id="{6529BCFE-896B-5776-7B0D-9EDBF953905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09" name="AutoShape 13">
            <a:extLst>
              <a:ext uri="{FF2B5EF4-FFF2-40B4-BE49-F238E27FC236}">
                <a16:creationId xmlns:a16="http://schemas.microsoft.com/office/drawing/2014/main" id="{722F7056-F1C0-5A3D-3FC8-03C87DCE4448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0" name="AutoShape 14">
            <a:extLst>
              <a:ext uri="{FF2B5EF4-FFF2-40B4-BE49-F238E27FC236}">
                <a16:creationId xmlns:a16="http://schemas.microsoft.com/office/drawing/2014/main" id="{07D95057-B0BC-608B-1806-04A14EF8074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1" name="AutoShape 15">
            <a:extLst>
              <a:ext uri="{FF2B5EF4-FFF2-40B4-BE49-F238E27FC236}">
                <a16:creationId xmlns:a16="http://schemas.microsoft.com/office/drawing/2014/main" id="{F35DF9CC-AF87-7ED9-D0C5-CC460BECC94C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2" name="AutoShape 16">
            <a:extLst>
              <a:ext uri="{FF2B5EF4-FFF2-40B4-BE49-F238E27FC236}">
                <a16:creationId xmlns:a16="http://schemas.microsoft.com/office/drawing/2014/main" id="{57C41F7D-4003-3BDA-3186-785487964A1C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13" name="AutoShape 17">
            <a:extLst>
              <a:ext uri="{FF2B5EF4-FFF2-40B4-BE49-F238E27FC236}">
                <a16:creationId xmlns:a16="http://schemas.microsoft.com/office/drawing/2014/main" id="{B83E019D-80E0-337B-026C-2A648896C08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</xdr:col>
      <xdr:colOff>160019</xdr:colOff>
      <xdr:row>8</xdr:row>
      <xdr:rowOff>7620</xdr:rowOff>
    </xdr:from>
    <xdr:to>
      <xdr:col>1</xdr:col>
      <xdr:colOff>358138</xdr:colOff>
      <xdr:row>14</xdr:row>
      <xdr:rowOff>160020</xdr:rowOff>
    </xdr:to>
    <xdr:sp macro="" textlink="">
      <xdr:nvSpPr>
        <xdr:cNvPr id="114" name="AutoShape 2">
          <a:extLst>
            <a:ext uri="{FF2B5EF4-FFF2-40B4-BE49-F238E27FC236}">
              <a16:creationId xmlns:a16="http://schemas.microsoft.com/office/drawing/2014/main" id="{8EEE72DB-8268-45D6-95D4-E64A5554212D}"/>
            </a:ext>
          </a:extLst>
        </xdr:cNvPr>
        <xdr:cNvSpPr>
          <a:spLocks noChangeArrowheads="1"/>
        </xdr:cNvSpPr>
      </xdr:nvSpPr>
      <xdr:spPr bwMode="auto">
        <a:xfrm rot="5400000">
          <a:off x="369569" y="2129790"/>
          <a:ext cx="1363980" cy="198119"/>
        </a:xfrm>
        <a:prstGeom prst="rightArrow">
          <a:avLst>
            <a:gd name="adj1" fmla="val 5374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175260</xdr:colOff>
      <xdr:row>17</xdr:row>
      <xdr:rowOff>53340</xdr:rowOff>
    </xdr:from>
    <xdr:to>
      <xdr:col>4</xdr:col>
      <xdr:colOff>537210</xdr:colOff>
      <xdr:row>18</xdr:row>
      <xdr:rowOff>95250</xdr:rowOff>
    </xdr:to>
    <xdr:grpSp>
      <xdr:nvGrpSpPr>
        <xdr:cNvPr id="120" name="Group 60">
          <a:extLst>
            <a:ext uri="{FF2B5EF4-FFF2-40B4-BE49-F238E27FC236}">
              <a16:creationId xmlns:a16="http://schemas.microsoft.com/office/drawing/2014/main" id="{8813C472-4CDD-4960-9835-019A703B5B25}"/>
            </a:ext>
          </a:extLst>
        </xdr:cNvPr>
        <xdr:cNvGrpSpPr>
          <a:grpSpLocks/>
        </xdr:cNvGrpSpPr>
      </xdr:nvGrpSpPr>
      <xdr:grpSpPr bwMode="auto">
        <a:xfrm>
          <a:off x="3345180" y="3505200"/>
          <a:ext cx="361950" cy="217170"/>
          <a:chOff x="1860" y="222"/>
          <a:chExt cx="159" cy="139"/>
        </a:xfrm>
      </xdr:grpSpPr>
      <xdr:sp macro="" textlink="">
        <xdr:nvSpPr>
          <xdr:cNvPr id="121" name="AutoShape 61">
            <a:extLst>
              <a:ext uri="{FF2B5EF4-FFF2-40B4-BE49-F238E27FC236}">
                <a16:creationId xmlns:a16="http://schemas.microsoft.com/office/drawing/2014/main" id="{279EF35E-03E6-B0A0-B5A7-1E42A8938B92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2" name="Line 62">
            <a:extLst>
              <a:ext uri="{FF2B5EF4-FFF2-40B4-BE49-F238E27FC236}">
                <a16:creationId xmlns:a16="http://schemas.microsoft.com/office/drawing/2014/main" id="{FB2682F9-D72E-159B-8C26-4299EE772F7F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3" name="Line 63">
            <a:extLst>
              <a:ext uri="{FF2B5EF4-FFF2-40B4-BE49-F238E27FC236}">
                <a16:creationId xmlns:a16="http://schemas.microsoft.com/office/drawing/2014/main" id="{0ABBA1A7-99DB-C53A-449C-B8074B19A7BE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4" name="Line 64">
            <a:extLst>
              <a:ext uri="{FF2B5EF4-FFF2-40B4-BE49-F238E27FC236}">
                <a16:creationId xmlns:a16="http://schemas.microsoft.com/office/drawing/2014/main" id="{95822A3A-566E-5672-66D0-42EBE0A58DE9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243840</xdr:colOff>
      <xdr:row>17</xdr:row>
      <xdr:rowOff>38100</xdr:rowOff>
    </xdr:from>
    <xdr:to>
      <xdr:col>7</xdr:col>
      <xdr:colOff>605790</xdr:colOff>
      <xdr:row>18</xdr:row>
      <xdr:rowOff>80010</xdr:rowOff>
    </xdr:to>
    <xdr:grpSp>
      <xdr:nvGrpSpPr>
        <xdr:cNvPr id="125" name="Group 60">
          <a:extLst>
            <a:ext uri="{FF2B5EF4-FFF2-40B4-BE49-F238E27FC236}">
              <a16:creationId xmlns:a16="http://schemas.microsoft.com/office/drawing/2014/main" id="{800F4065-E255-46C7-928D-DF1D290FACCF}"/>
            </a:ext>
          </a:extLst>
        </xdr:cNvPr>
        <xdr:cNvGrpSpPr>
          <a:grpSpLocks/>
        </xdr:cNvGrpSpPr>
      </xdr:nvGrpSpPr>
      <xdr:grpSpPr bwMode="auto">
        <a:xfrm>
          <a:off x="5791200" y="3489960"/>
          <a:ext cx="361950" cy="217170"/>
          <a:chOff x="1860" y="222"/>
          <a:chExt cx="159" cy="139"/>
        </a:xfrm>
      </xdr:grpSpPr>
      <xdr:sp macro="" textlink="">
        <xdr:nvSpPr>
          <xdr:cNvPr id="126" name="AutoShape 61">
            <a:extLst>
              <a:ext uri="{FF2B5EF4-FFF2-40B4-BE49-F238E27FC236}">
                <a16:creationId xmlns:a16="http://schemas.microsoft.com/office/drawing/2014/main" id="{D3CDC93F-17A8-31E6-8C8F-ECAE50014CD1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7" name="Line 62">
            <a:extLst>
              <a:ext uri="{FF2B5EF4-FFF2-40B4-BE49-F238E27FC236}">
                <a16:creationId xmlns:a16="http://schemas.microsoft.com/office/drawing/2014/main" id="{38BD42B1-C842-6ADB-3D09-771626CF9B50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8" name="Line 63">
            <a:extLst>
              <a:ext uri="{FF2B5EF4-FFF2-40B4-BE49-F238E27FC236}">
                <a16:creationId xmlns:a16="http://schemas.microsoft.com/office/drawing/2014/main" id="{A6B81658-3ABF-0D67-2DA2-53F88929195C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9" name="Line 64">
            <a:extLst>
              <a:ext uri="{FF2B5EF4-FFF2-40B4-BE49-F238E27FC236}">
                <a16:creationId xmlns:a16="http://schemas.microsoft.com/office/drawing/2014/main" id="{3A70F5D5-FEBC-4A14-8020-C2F1F85FFF2A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175260</xdr:colOff>
      <xdr:row>17</xdr:row>
      <xdr:rowOff>121920</xdr:rowOff>
    </xdr:from>
    <xdr:to>
      <xdr:col>10</xdr:col>
      <xdr:colOff>537210</xdr:colOff>
      <xdr:row>18</xdr:row>
      <xdr:rowOff>163830</xdr:rowOff>
    </xdr:to>
    <xdr:grpSp>
      <xdr:nvGrpSpPr>
        <xdr:cNvPr id="135" name="Group 60">
          <a:extLst>
            <a:ext uri="{FF2B5EF4-FFF2-40B4-BE49-F238E27FC236}">
              <a16:creationId xmlns:a16="http://schemas.microsoft.com/office/drawing/2014/main" id="{3685336E-5AD6-4365-981F-3F2DE2BB7F16}"/>
            </a:ext>
          </a:extLst>
        </xdr:cNvPr>
        <xdr:cNvGrpSpPr>
          <a:grpSpLocks/>
        </xdr:cNvGrpSpPr>
      </xdr:nvGrpSpPr>
      <xdr:grpSpPr bwMode="auto">
        <a:xfrm>
          <a:off x="8686800" y="3573780"/>
          <a:ext cx="361950" cy="217170"/>
          <a:chOff x="1860" y="222"/>
          <a:chExt cx="159" cy="139"/>
        </a:xfrm>
      </xdr:grpSpPr>
      <xdr:sp macro="" textlink="">
        <xdr:nvSpPr>
          <xdr:cNvPr id="136" name="AutoShape 61">
            <a:extLst>
              <a:ext uri="{FF2B5EF4-FFF2-40B4-BE49-F238E27FC236}">
                <a16:creationId xmlns:a16="http://schemas.microsoft.com/office/drawing/2014/main" id="{5AFBA529-36C9-8A17-251A-F7D79116D564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7" name="Line 62">
            <a:extLst>
              <a:ext uri="{FF2B5EF4-FFF2-40B4-BE49-F238E27FC236}">
                <a16:creationId xmlns:a16="http://schemas.microsoft.com/office/drawing/2014/main" id="{0EFE5243-DF62-C2F2-8F2C-3A10E4C64BBA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8" name="Line 63">
            <a:extLst>
              <a:ext uri="{FF2B5EF4-FFF2-40B4-BE49-F238E27FC236}">
                <a16:creationId xmlns:a16="http://schemas.microsoft.com/office/drawing/2014/main" id="{5CB9294B-6EF4-32FE-E798-0A2D042EA25D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9" name="Line 64">
            <a:extLst>
              <a:ext uri="{FF2B5EF4-FFF2-40B4-BE49-F238E27FC236}">
                <a16:creationId xmlns:a16="http://schemas.microsoft.com/office/drawing/2014/main" id="{190CA7C0-5983-E809-F989-02C213C4E3BF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556260</xdr:colOff>
      <xdr:row>18</xdr:row>
      <xdr:rowOff>45720</xdr:rowOff>
    </xdr:from>
    <xdr:to>
      <xdr:col>14</xdr:col>
      <xdr:colOff>125730</xdr:colOff>
      <xdr:row>19</xdr:row>
      <xdr:rowOff>95250</xdr:rowOff>
    </xdr:to>
    <xdr:grpSp>
      <xdr:nvGrpSpPr>
        <xdr:cNvPr id="145" name="Group 60">
          <a:extLst>
            <a:ext uri="{FF2B5EF4-FFF2-40B4-BE49-F238E27FC236}">
              <a16:creationId xmlns:a16="http://schemas.microsoft.com/office/drawing/2014/main" id="{95A4942F-F8BE-4227-AB61-039D82CBC279}"/>
            </a:ext>
          </a:extLst>
        </xdr:cNvPr>
        <xdr:cNvGrpSpPr>
          <a:grpSpLocks/>
        </xdr:cNvGrpSpPr>
      </xdr:nvGrpSpPr>
      <xdr:grpSpPr bwMode="auto">
        <a:xfrm>
          <a:off x="11597640" y="3672840"/>
          <a:ext cx="361950" cy="217170"/>
          <a:chOff x="1860" y="222"/>
          <a:chExt cx="159" cy="139"/>
        </a:xfrm>
      </xdr:grpSpPr>
      <xdr:sp macro="" textlink="">
        <xdr:nvSpPr>
          <xdr:cNvPr id="146" name="AutoShape 61">
            <a:extLst>
              <a:ext uri="{FF2B5EF4-FFF2-40B4-BE49-F238E27FC236}">
                <a16:creationId xmlns:a16="http://schemas.microsoft.com/office/drawing/2014/main" id="{086397C0-FAA5-3416-AB33-3B0647B3A726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" name="Line 62">
            <a:extLst>
              <a:ext uri="{FF2B5EF4-FFF2-40B4-BE49-F238E27FC236}">
                <a16:creationId xmlns:a16="http://schemas.microsoft.com/office/drawing/2014/main" id="{8405C100-69DE-40E0-AF84-E3672E365FC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8" name="Line 63">
            <a:extLst>
              <a:ext uri="{FF2B5EF4-FFF2-40B4-BE49-F238E27FC236}">
                <a16:creationId xmlns:a16="http://schemas.microsoft.com/office/drawing/2014/main" id="{338EBE5B-D765-57B3-4E49-732842FC828A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9" name="Line 64">
            <a:extLst>
              <a:ext uri="{FF2B5EF4-FFF2-40B4-BE49-F238E27FC236}">
                <a16:creationId xmlns:a16="http://schemas.microsoft.com/office/drawing/2014/main" id="{A1407439-A966-365B-F343-056D9829F665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</xdr:col>
      <xdr:colOff>0</xdr:colOff>
      <xdr:row>20</xdr:row>
      <xdr:rowOff>0</xdr:rowOff>
    </xdr:from>
    <xdr:to>
      <xdr:col>4</xdr:col>
      <xdr:colOff>762000</xdr:colOff>
      <xdr:row>21</xdr:row>
      <xdr:rowOff>60960</xdr:rowOff>
    </xdr:to>
    <xdr:sp macro="" textlink="">
      <xdr:nvSpPr>
        <xdr:cNvPr id="150" name="AutoShape 33">
          <a:extLst>
            <a:ext uri="{FF2B5EF4-FFF2-40B4-BE49-F238E27FC236}">
              <a16:creationId xmlns:a16="http://schemas.microsoft.com/office/drawing/2014/main" id="{20934312-4759-4F54-8E76-370C1974DDFA}"/>
            </a:ext>
          </a:extLst>
        </xdr:cNvPr>
        <xdr:cNvSpPr>
          <a:spLocks noChangeArrowheads="1"/>
        </xdr:cNvSpPr>
      </xdr:nvSpPr>
      <xdr:spPr bwMode="auto">
        <a:xfrm>
          <a:off x="3169920" y="3695700"/>
          <a:ext cx="762000" cy="22860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7</xdr:col>
      <xdr:colOff>0</xdr:colOff>
      <xdr:row>19</xdr:row>
      <xdr:rowOff>137160</xdr:rowOff>
    </xdr:from>
    <xdr:to>
      <xdr:col>7</xdr:col>
      <xdr:colOff>1165860</xdr:colOff>
      <xdr:row>21</xdr:row>
      <xdr:rowOff>53340</xdr:rowOff>
    </xdr:to>
    <xdr:sp macro="" textlink="">
      <xdr:nvSpPr>
        <xdr:cNvPr id="151" name="AutoShape 33">
          <a:extLst>
            <a:ext uri="{FF2B5EF4-FFF2-40B4-BE49-F238E27FC236}">
              <a16:creationId xmlns:a16="http://schemas.microsoft.com/office/drawing/2014/main" id="{F7194902-8BAE-4554-9093-F52BE8963A31}"/>
            </a:ext>
          </a:extLst>
        </xdr:cNvPr>
        <xdr:cNvSpPr>
          <a:spLocks noChangeArrowheads="1"/>
        </xdr:cNvSpPr>
      </xdr:nvSpPr>
      <xdr:spPr bwMode="auto">
        <a:xfrm>
          <a:off x="5547360" y="3893820"/>
          <a:ext cx="1165860" cy="25146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10</xdr:col>
      <xdr:colOff>830580</xdr:colOff>
      <xdr:row>21</xdr:row>
      <xdr:rowOff>68580</xdr:rowOff>
    </xdr:to>
    <xdr:sp macro="" textlink="">
      <xdr:nvSpPr>
        <xdr:cNvPr id="153" name="AutoShape 33">
          <a:extLst>
            <a:ext uri="{FF2B5EF4-FFF2-40B4-BE49-F238E27FC236}">
              <a16:creationId xmlns:a16="http://schemas.microsoft.com/office/drawing/2014/main" id="{9CD28980-94CD-4DE8-9784-CDB0F4D0973A}"/>
            </a:ext>
          </a:extLst>
        </xdr:cNvPr>
        <xdr:cNvSpPr>
          <a:spLocks noChangeArrowheads="1"/>
        </xdr:cNvSpPr>
      </xdr:nvSpPr>
      <xdr:spPr bwMode="auto">
        <a:xfrm>
          <a:off x="8511540" y="3970020"/>
          <a:ext cx="830580" cy="23622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777240</xdr:colOff>
      <xdr:row>21</xdr:row>
      <xdr:rowOff>76200</xdr:rowOff>
    </xdr:to>
    <xdr:sp macro="" textlink="">
      <xdr:nvSpPr>
        <xdr:cNvPr id="154" name="AutoShape 33">
          <a:extLst>
            <a:ext uri="{FF2B5EF4-FFF2-40B4-BE49-F238E27FC236}">
              <a16:creationId xmlns:a16="http://schemas.microsoft.com/office/drawing/2014/main" id="{A424C644-D6B0-47E7-BA54-D9F74DC352E9}"/>
            </a:ext>
          </a:extLst>
        </xdr:cNvPr>
        <xdr:cNvSpPr>
          <a:spLocks noChangeArrowheads="1"/>
        </xdr:cNvSpPr>
      </xdr:nvSpPr>
      <xdr:spPr bwMode="auto">
        <a:xfrm>
          <a:off x="10302240" y="3695700"/>
          <a:ext cx="1569720" cy="24384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15</xdr:col>
      <xdr:colOff>762002</xdr:colOff>
      <xdr:row>7</xdr:row>
      <xdr:rowOff>137159</xdr:rowOff>
    </xdr:from>
    <xdr:to>
      <xdr:col>16</xdr:col>
      <xdr:colOff>304799</xdr:colOff>
      <xdr:row>14</xdr:row>
      <xdr:rowOff>160018</xdr:rowOff>
    </xdr:to>
    <xdr:sp macro="" textlink="">
      <xdr:nvSpPr>
        <xdr:cNvPr id="155" name="AutoShape 2">
          <a:extLst>
            <a:ext uri="{FF2B5EF4-FFF2-40B4-BE49-F238E27FC236}">
              <a16:creationId xmlns:a16="http://schemas.microsoft.com/office/drawing/2014/main" id="{A0772BA7-4E70-4B55-9729-4A890985F076}"/>
            </a:ext>
          </a:extLst>
        </xdr:cNvPr>
        <xdr:cNvSpPr>
          <a:spLocks noChangeArrowheads="1"/>
        </xdr:cNvSpPr>
      </xdr:nvSpPr>
      <xdr:spPr bwMode="auto">
        <a:xfrm rot="16200000">
          <a:off x="12134851" y="1878330"/>
          <a:ext cx="1363979" cy="335277"/>
        </a:xfrm>
        <a:prstGeom prst="rightArrow">
          <a:avLst>
            <a:gd name="adj1" fmla="val 43944"/>
            <a:gd name="adj2" fmla="val 4047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17</xdr:col>
      <xdr:colOff>0</xdr:colOff>
      <xdr:row>10</xdr:row>
      <xdr:rowOff>0</xdr:rowOff>
    </xdr:from>
    <xdr:to>
      <xdr:col>17</xdr:col>
      <xdr:colOff>685800</xdr:colOff>
      <xdr:row>13</xdr:row>
      <xdr:rowOff>15240</xdr:rowOff>
    </xdr:to>
    <xdr:grpSp>
      <xdr:nvGrpSpPr>
        <xdr:cNvPr id="164" name="Group 46">
          <a:extLst>
            <a:ext uri="{FF2B5EF4-FFF2-40B4-BE49-F238E27FC236}">
              <a16:creationId xmlns:a16="http://schemas.microsoft.com/office/drawing/2014/main" id="{6F84B0CC-3F91-41EA-B98A-79D3E9507CCA}"/>
            </a:ext>
          </a:extLst>
        </xdr:cNvPr>
        <xdr:cNvGrpSpPr>
          <a:grpSpLocks/>
        </xdr:cNvGrpSpPr>
      </xdr:nvGrpSpPr>
      <xdr:grpSpPr bwMode="auto">
        <a:xfrm flipH="1">
          <a:off x="14211300" y="2133600"/>
          <a:ext cx="685800" cy="533400"/>
          <a:chOff x="216" y="418"/>
          <a:chExt cx="71" cy="51"/>
        </a:xfrm>
      </xdr:grpSpPr>
      <xdr:sp macro="" textlink="">
        <xdr:nvSpPr>
          <xdr:cNvPr id="165" name="Rectangle 47">
            <a:extLst>
              <a:ext uri="{FF2B5EF4-FFF2-40B4-BE49-F238E27FC236}">
                <a16:creationId xmlns:a16="http://schemas.microsoft.com/office/drawing/2014/main" id="{7A36ED53-9AD7-9A91-B2CE-69570DB48DEE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6" name="Rectangle 48">
            <a:extLst>
              <a:ext uri="{FF2B5EF4-FFF2-40B4-BE49-F238E27FC236}">
                <a16:creationId xmlns:a16="http://schemas.microsoft.com/office/drawing/2014/main" id="{0A515256-FAEC-9595-E0E1-4B5135F330B2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7" name="AutoShape 49">
            <a:extLst>
              <a:ext uri="{FF2B5EF4-FFF2-40B4-BE49-F238E27FC236}">
                <a16:creationId xmlns:a16="http://schemas.microsoft.com/office/drawing/2014/main" id="{54C19197-275F-A48F-A22E-E9F5AFA5547C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8" name="AutoShape 50">
            <a:extLst>
              <a:ext uri="{FF2B5EF4-FFF2-40B4-BE49-F238E27FC236}">
                <a16:creationId xmlns:a16="http://schemas.microsoft.com/office/drawing/2014/main" id="{7676C731-9238-CF69-2D6B-9EB5F3986965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9" name="AutoShape 51">
            <a:extLst>
              <a:ext uri="{FF2B5EF4-FFF2-40B4-BE49-F238E27FC236}">
                <a16:creationId xmlns:a16="http://schemas.microsoft.com/office/drawing/2014/main" id="{D78F9F54-6316-E4BE-5060-1F0319C478FE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0" name="AutoShape 52">
            <a:extLst>
              <a:ext uri="{FF2B5EF4-FFF2-40B4-BE49-F238E27FC236}">
                <a16:creationId xmlns:a16="http://schemas.microsoft.com/office/drawing/2014/main" id="{63863571-31D1-FBDA-A91C-2B4672C31441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1" name="AutoShape 53">
            <a:extLst>
              <a:ext uri="{FF2B5EF4-FFF2-40B4-BE49-F238E27FC236}">
                <a16:creationId xmlns:a16="http://schemas.microsoft.com/office/drawing/2014/main" id="{94D40E9C-FAD7-527D-2D85-0C87C4DB4AD9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15240</xdr:colOff>
      <xdr:row>10</xdr:row>
      <xdr:rowOff>83820</xdr:rowOff>
    </xdr:from>
    <xdr:to>
      <xdr:col>15</xdr:col>
      <xdr:colOff>377190</xdr:colOff>
      <xdr:row>11</xdr:row>
      <xdr:rowOff>133350</xdr:rowOff>
    </xdr:to>
    <xdr:grpSp>
      <xdr:nvGrpSpPr>
        <xdr:cNvPr id="177" name="Group 60">
          <a:extLst>
            <a:ext uri="{FF2B5EF4-FFF2-40B4-BE49-F238E27FC236}">
              <a16:creationId xmlns:a16="http://schemas.microsoft.com/office/drawing/2014/main" id="{AA7A1D73-8B0F-42E9-8797-4E8B34CBF134}"/>
            </a:ext>
          </a:extLst>
        </xdr:cNvPr>
        <xdr:cNvGrpSpPr>
          <a:grpSpLocks/>
        </xdr:cNvGrpSpPr>
      </xdr:nvGrpSpPr>
      <xdr:grpSpPr bwMode="auto">
        <a:xfrm>
          <a:off x="12641580" y="2217420"/>
          <a:ext cx="361950" cy="217170"/>
          <a:chOff x="1860" y="222"/>
          <a:chExt cx="159" cy="139"/>
        </a:xfrm>
      </xdr:grpSpPr>
      <xdr:sp macro="" textlink="">
        <xdr:nvSpPr>
          <xdr:cNvPr id="178" name="AutoShape 61">
            <a:extLst>
              <a:ext uri="{FF2B5EF4-FFF2-40B4-BE49-F238E27FC236}">
                <a16:creationId xmlns:a16="http://schemas.microsoft.com/office/drawing/2014/main" id="{3F7653BC-28BA-8FEB-A311-E0F21C61CC62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9" name="Line 62">
            <a:extLst>
              <a:ext uri="{FF2B5EF4-FFF2-40B4-BE49-F238E27FC236}">
                <a16:creationId xmlns:a16="http://schemas.microsoft.com/office/drawing/2014/main" id="{F803FC02-37B7-19F8-8218-EC58AE7B6815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0" name="Line 63">
            <a:extLst>
              <a:ext uri="{FF2B5EF4-FFF2-40B4-BE49-F238E27FC236}">
                <a16:creationId xmlns:a16="http://schemas.microsoft.com/office/drawing/2014/main" id="{0A6E692A-6B75-2E5D-EEFE-8B069B861A7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1" name="Line 64">
            <a:extLst>
              <a:ext uri="{FF2B5EF4-FFF2-40B4-BE49-F238E27FC236}">
                <a16:creationId xmlns:a16="http://schemas.microsoft.com/office/drawing/2014/main" id="{AA9D6DB2-89B3-7999-84CE-49360BEB8D5B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12</xdr:col>
      <xdr:colOff>15238</xdr:colOff>
      <xdr:row>5</xdr:row>
      <xdr:rowOff>106679</xdr:rowOff>
    </xdr:from>
    <xdr:to>
      <xdr:col>15</xdr:col>
      <xdr:colOff>365759</xdr:colOff>
      <xdr:row>6</xdr:row>
      <xdr:rowOff>76200</xdr:rowOff>
    </xdr:to>
    <xdr:grpSp>
      <xdr:nvGrpSpPr>
        <xdr:cNvPr id="189" name="Group 28">
          <a:extLst>
            <a:ext uri="{FF2B5EF4-FFF2-40B4-BE49-F238E27FC236}">
              <a16:creationId xmlns:a16="http://schemas.microsoft.com/office/drawing/2014/main" id="{D6EF3226-D6AC-4088-877B-6216168E0136}"/>
            </a:ext>
          </a:extLst>
        </xdr:cNvPr>
        <xdr:cNvGrpSpPr>
          <a:grpSpLocks/>
        </xdr:cNvGrpSpPr>
      </xdr:nvGrpSpPr>
      <xdr:grpSpPr bwMode="auto">
        <a:xfrm rot="10800000" flipV="1">
          <a:off x="10210798" y="975359"/>
          <a:ext cx="2781301" cy="205741"/>
          <a:chOff x="749" y="422"/>
          <a:chExt cx="163" cy="29"/>
        </a:xfrm>
      </xdr:grpSpPr>
      <xdr:sp macro="" textlink="">
        <xdr:nvSpPr>
          <xdr:cNvPr id="190" name="Line 29">
            <a:extLst>
              <a:ext uri="{FF2B5EF4-FFF2-40B4-BE49-F238E27FC236}">
                <a16:creationId xmlns:a16="http://schemas.microsoft.com/office/drawing/2014/main" id="{F20CCF90-B241-7C5A-8136-517168E02CC9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1" name="Line 30">
            <a:extLst>
              <a:ext uri="{FF2B5EF4-FFF2-40B4-BE49-F238E27FC236}">
                <a16:creationId xmlns:a16="http://schemas.microsoft.com/office/drawing/2014/main" id="{83D56961-C71F-4B8B-6E99-368678E8F0E7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2" name="Line 31">
            <a:extLst>
              <a:ext uri="{FF2B5EF4-FFF2-40B4-BE49-F238E27FC236}">
                <a16:creationId xmlns:a16="http://schemas.microsoft.com/office/drawing/2014/main" id="{1B8C339B-F55A-A44C-8850-C398BB9C8916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9</xdr:col>
      <xdr:colOff>966735</xdr:colOff>
      <xdr:row>5</xdr:row>
      <xdr:rowOff>6638</xdr:rowOff>
    </xdr:from>
    <xdr:to>
      <xdr:col>11</xdr:col>
      <xdr:colOff>3424</xdr:colOff>
      <xdr:row>5</xdr:row>
      <xdr:rowOff>116333</xdr:rowOff>
    </xdr:to>
    <xdr:grpSp>
      <xdr:nvGrpSpPr>
        <xdr:cNvPr id="193" name="Group 28">
          <a:extLst>
            <a:ext uri="{FF2B5EF4-FFF2-40B4-BE49-F238E27FC236}">
              <a16:creationId xmlns:a16="http://schemas.microsoft.com/office/drawing/2014/main" id="{514407BF-8889-4295-B0C7-5BA47E45A12D}"/>
            </a:ext>
          </a:extLst>
        </xdr:cNvPr>
        <xdr:cNvGrpSpPr>
          <a:grpSpLocks/>
        </xdr:cNvGrpSpPr>
      </xdr:nvGrpSpPr>
      <xdr:grpSpPr bwMode="auto">
        <a:xfrm rot="10980410">
          <a:off x="8510535" y="875318"/>
          <a:ext cx="895969" cy="109695"/>
          <a:chOff x="749" y="422"/>
          <a:chExt cx="163" cy="29"/>
        </a:xfrm>
      </xdr:grpSpPr>
      <xdr:sp macro="" textlink="">
        <xdr:nvSpPr>
          <xdr:cNvPr id="194" name="Line 29">
            <a:extLst>
              <a:ext uri="{FF2B5EF4-FFF2-40B4-BE49-F238E27FC236}">
                <a16:creationId xmlns:a16="http://schemas.microsoft.com/office/drawing/2014/main" id="{B906027F-7EA0-F4BB-2327-5D11B96F2A05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5" name="Line 30">
            <a:extLst>
              <a:ext uri="{FF2B5EF4-FFF2-40B4-BE49-F238E27FC236}">
                <a16:creationId xmlns:a16="http://schemas.microsoft.com/office/drawing/2014/main" id="{96B891D7-0CE5-BAB1-4E6B-B4504A42145F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6" name="Line 31">
            <a:extLst>
              <a:ext uri="{FF2B5EF4-FFF2-40B4-BE49-F238E27FC236}">
                <a16:creationId xmlns:a16="http://schemas.microsoft.com/office/drawing/2014/main" id="{E45B8251-6BF1-38AB-45EC-E1014208D097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</xdr:col>
      <xdr:colOff>0</xdr:colOff>
      <xdr:row>5</xdr:row>
      <xdr:rowOff>0</xdr:rowOff>
    </xdr:from>
    <xdr:to>
      <xdr:col>9</xdr:col>
      <xdr:colOff>4429</xdr:colOff>
      <xdr:row>5</xdr:row>
      <xdr:rowOff>109695</xdr:rowOff>
    </xdr:to>
    <xdr:grpSp>
      <xdr:nvGrpSpPr>
        <xdr:cNvPr id="201" name="Group 28">
          <a:extLst>
            <a:ext uri="{FF2B5EF4-FFF2-40B4-BE49-F238E27FC236}">
              <a16:creationId xmlns:a16="http://schemas.microsoft.com/office/drawing/2014/main" id="{6E7E72B4-4D53-4C81-B342-8FBEC0845D50}"/>
            </a:ext>
          </a:extLst>
        </xdr:cNvPr>
        <xdr:cNvGrpSpPr>
          <a:grpSpLocks/>
        </xdr:cNvGrpSpPr>
      </xdr:nvGrpSpPr>
      <xdr:grpSpPr bwMode="auto">
        <a:xfrm rot="10980410">
          <a:off x="6751320" y="868680"/>
          <a:ext cx="796909" cy="109695"/>
          <a:chOff x="749" y="422"/>
          <a:chExt cx="163" cy="29"/>
        </a:xfrm>
      </xdr:grpSpPr>
      <xdr:sp macro="" textlink="">
        <xdr:nvSpPr>
          <xdr:cNvPr id="202" name="Line 29">
            <a:extLst>
              <a:ext uri="{FF2B5EF4-FFF2-40B4-BE49-F238E27FC236}">
                <a16:creationId xmlns:a16="http://schemas.microsoft.com/office/drawing/2014/main" id="{3ACC2189-AA48-D295-6D5C-5DA69BDEE48F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03" name="Line 30">
            <a:extLst>
              <a:ext uri="{FF2B5EF4-FFF2-40B4-BE49-F238E27FC236}">
                <a16:creationId xmlns:a16="http://schemas.microsoft.com/office/drawing/2014/main" id="{8AB0F379-7E95-3BAE-2D3F-0E7E6B5926D1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04" name="Line 31">
            <a:extLst>
              <a:ext uri="{FF2B5EF4-FFF2-40B4-BE49-F238E27FC236}">
                <a16:creationId xmlns:a16="http://schemas.microsoft.com/office/drawing/2014/main" id="{44D0648C-9665-8FBA-0CD4-B9AB0EC3D433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</xdr:col>
      <xdr:colOff>243840</xdr:colOff>
      <xdr:row>4</xdr:row>
      <xdr:rowOff>68580</xdr:rowOff>
    </xdr:from>
    <xdr:to>
      <xdr:col>6</xdr:col>
      <xdr:colOff>746760</xdr:colOff>
      <xdr:row>5</xdr:row>
      <xdr:rowOff>190499</xdr:rowOff>
    </xdr:to>
    <xdr:grpSp>
      <xdr:nvGrpSpPr>
        <xdr:cNvPr id="209" name="Group 28">
          <a:extLst>
            <a:ext uri="{FF2B5EF4-FFF2-40B4-BE49-F238E27FC236}">
              <a16:creationId xmlns:a16="http://schemas.microsoft.com/office/drawing/2014/main" id="{1F8E3B7A-0EB8-4DA3-AA98-FB0879E1CFEE}"/>
            </a:ext>
          </a:extLst>
        </xdr:cNvPr>
        <xdr:cNvGrpSpPr>
          <a:grpSpLocks/>
        </xdr:cNvGrpSpPr>
      </xdr:nvGrpSpPr>
      <xdr:grpSpPr bwMode="auto">
        <a:xfrm rot="10800000" flipV="1">
          <a:off x="1828800" y="762000"/>
          <a:ext cx="3672840" cy="297179"/>
          <a:chOff x="749" y="422"/>
          <a:chExt cx="163" cy="29"/>
        </a:xfrm>
      </xdr:grpSpPr>
      <xdr:sp macro="" textlink="">
        <xdr:nvSpPr>
          <xdr:cNvPr id="210" name="Line 29">
            <a:extLst>
              <a:ext uri="{FF2B5EF4-FFF2-40B4-BE49-F238E27FC236}">
                <a16:creationId xmlns:a16="http://schemas.microsoft.com/office/drawing/2014/main" id="{DE5E9D64-9EB0-FDF1-9E04-9A50FC1A2AA2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1" name="Line 30">
            <a:extLst>
              <a:ext uri="{FF2B5EF4-FFF2-40B4-BE49-F238E27FC236}">
                <a16:creationId xmlns:a16="http://schemas.microsoft.com/office/drawing/2014/main" id="{C0349696-7912-0E33-0E7F-2A04ED336CF6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2" name="Line 31">
            <a:extLst>
              <a:ext uri="{FF2B5EF4-FFF2-40B4-BE49-F238E27FC236}">
                <a16:creationId xmlns:a16="http://schemas.microsoft.com/office/drawing/2014/main" id="{E010CEF3-E901-CD1F-245C-5737BF9114DB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753685</xdr:colOff>
      <xdr:row>6</xdr:row>
      <xdr:rowOff>134123</xdr:rowOff>
    </xdr:from>
    <xdr:to>
      <xdr:col>8</xdr:col>
      <xdr:colOff>761260</xdr:colOff>
      <xdr:row>7</xdr:row>
      <xdr:rowOff>121225</xdr:rowOff>
    </xdr:to>
    <xdr:grpSp>
      <xdr:nvGrpSpPr>
        <xdr:cNvPr id="217" name="Group 28">
          <a:extLst>
            <a:ext uri="{FF2B5EF4-FFF2-40B4-BE49-F238E27FC236}">
              <a16:creationId xmlns:a16="http://schemas.microsoft.com/office/drawing/2014/main" id="{775EE0E1-A835-453C-946E-700357F0ACCC}"/>
            </a:ext>
          </a:extLst>
        </xdr:cNvPr>
        <xdr:cNvGrpSpPr>
          <a:grpSpLocks/>
        </xdr:cNvGrpSpPr>
      </xdr:nvGrpSpPr>
      <xdr:grpSpPr bwMode="auto">
        <a:xfrm rot="10520425">
          <a:off x="5508565" y="1239023"/>
          <a:ext cx="2004015" cy="223322"/>
          <a:chOff x="749" y="422"/>
          <a:chExt cx="163" cy="29"/>
        </a:xfrm>
      </xdr:grpSpPr>
      <xdr:sp macro="" textlink="">
        <xdr:nvSpPr>
          <xdr:cNvPr id="218" name="Line 29">
            <a:extLst>
              <a:ext uri="{FF2B5EF4-FFF2-40B4-BE49-F238E27FC236}">
                <a16:creationId xmlns:a16="http://schemas.microsoft.com/office/drawing/2014/main" id="{23FE6FB0-4305-0358-CF8F-76E1D2A15C4C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9" name="Line 30">
            <a:extLst>
              <a:ext uri="{FF2B5EF4-FFF2-40B4-BE49-F238E27FC236}">
                <a16:creationId xmlns:a16="http://schemas.microsoft.com/office/drawing/2014/main" id="{344C7802-2622-DA83-60BD-9DAF01A5BC6E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0" name="Line 31">
            <a:extLst>
              <a:ext uri="{FF2B5EF4-FFF2-40B4-BE49-F238E27FC236}">
                <a16:creationId xmlns:a16="http://schemas.microsoft.com/office/drawing/2014/main" id="{1604CA6B-FB44-33BC-3DE5-96C46224BE0C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</xdr:col>
      <xdr:colOff>709983</xdr:colOff>
      <xdr:row>11</xdr:row>
      <xdr:rowOff>37193</xdr:rowOff>
    </xdr:from>
    <xdr:to>
      <xdr:col>5</xdr:col>
      <xdr:colOff>408118</xdr:colOff>
      <xdr:row>12</xdr:row>
      <xdr:rowOff>160637</xdr:rowOff>
    </xdr:to>
    <xdr:grpSp>
      <xdr:nvGrpSpPr>
        <xdr:cNvPr id="221" name="Group 28">
          <a:extLst>
            <a:ext uri="{FF2B5EF4-FFF2-40B4-BE49-F238E27FC236}">
              <a16:creationId xmlns:a16="http://schemas.microsoft.com/office/drawing/2014/main" id="{2299AD9B-BFE2-421A-942B-30BC98035458}"/>
            </a:ext>
          </a:extLst>
        </xdr:cNvPr>
        <xdr:cNvGrpSpPr>
          <a:grpSpLocks/>
        </xdr:cNvGrpSpPr>
      </xdr:nvGrpSpPr>
      <xdr:grpSpPr bwMode="auto">
        <a:xfrm rot="9442622">
          <a:off x="2294943" y="2338433"/>
          <a:ext cx="2075575" cy="298704"/>
          <a:chOff x="749" y="422"/>
          <a:chExt cx="163" cy="29"/>
        </a:xfrm>
      </xdr:grpSpPr>
      <xdr:sp macro="" textlink="">
        <xdr:nvSpPr>
          <xdr:cNvPr id="222" name="Line 29">
            <a:extLst>
              <a:ext uri="{FF2B5EF4-FFF2-40B4-BE49-F238E27FC236}">
                <a16:creationId xmlns:a16="http://schemas.microsoft.com/office/drawing/2014/main" id="{56EB164A-9BA2-5743-26E5-0CC8D0A4D0FC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3" name="Line 30">
            <a:extLst>
              <a:ext uri="{FF2B5EF4-FFF2-40B4-BE49-F238E27FC236}">
                <a16:creationId xmlns:a16="http://schemas.microsoft.com/office/drawing/2014/main" id="{05F28199-843A-6C51-92D1-D3FD5BF79FAA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24" name="Line 31">
            <a:extLst>
              <a:ext uri="{FF2B5EF4-FFF2-40B4-BE49-F238E27FC236}">
                <a16:creationId xmlns:a16="http://schemas.microsoft.com/office/drawing/2014/main" id="{E1E67DE8-3B4B-3998-0478-65BACA36BCAE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0</xdr:col>
      <xdr:colOff>304800</xdr:colOff>
      <xdr:row>23</xdr:row>
      <xdr:rowOff>144780</xdr:rowOff>
    </xdr:from>
    <xdr:to>
      <xdr:col>1</xdr:col>
      <xdr:colOff>449580</xdr:colOff>
      <xdr:row>28</xdr:row>
      <xdr:rowOff>180013</xdr:rowOff>
    </xdr:to>
    <xdr:pic>
      <xdr:nvPicPr>
        <xdr:cNvPr id="228" name="Picture 92">
          <a:extLst>
            <a:ext uri="{FF2B5EF4-FFF2-40B4-BE49-F238E27FC236}">
              <a16:creationId xmlns:a16="http://schemas.microsoft.com/office/drawing/2014/main" id="{97005763-A232-479B-8B5C-6DC6987C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4511040"/>
          <a:ext cx="937260" cy="9191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301944</xdr:colOff>
      <xdr:row>6</xdr:row>
      <xdr:rowOff>49864</xdr:rowOff>
    </xdr:from>
    <xdr:to>
      <xdr:col>2</xdr:col>
      <xdr:colOff>623347</xdr:colOff>
      <xdr:row>16</xdr:row>
      <xdr:rowOff>5732</xdr:rowOff>
    </xdr:to>
    <xdr:grpSp>
      <xdr:nvGrpSpPr>
        <xdr:cNvPr id="233" name="Group 28">
          <a:extLst>
            <a:ext uri="{FF2B5EF4-FFF2-40B4-BE49-F238E27FC236}">
              <a16:creationId xmlns:a16="http://schemas.microsoft.com/office/drawing/2014/main" id="{00C6B578-F386-452E-A358-E925569F9EC6}"/>
            </a:ext>
          </a:extLst>
        </xdr:cNvPr>
        <xdr:cNvGrpSpPr>
          <a:grpSpLocks/>
        </xdr:cNvGrpSpPr>
      </xdr:nvGrpSpPr>
      <xdr:grpSpPr bwMode="auto">
        <a:xfrm rot="14299544">
          <a:off x="1006682" y="2034986"/>
          <a:ext cx="2081848" cy="321403"/>
          <a:chOff x="749" y="422"/>
          <a:chExt cx="163" cy="29"/>
        </a:xfrm>
      </xdr:grpSpPr>
      <xdr:sp macro="" textlink="">
        <xdr:nvSpPr>
          <xdr:cNvPr id="234" name="Line 29">
            <a:extLst>
              <a:ext uri="{FF2B5EF4-FFF2-40B4-BE49-F238E27FC236}">
                <a16:creationId xmlns:a16="http://schemas.microsoft.com/office/drawing/2014/main" id="{F4F55A67-9A45-F62F-07D5-E6425F1CCF55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5" name="Line 30">
            <a:extLst>
              <a:ext uri="{FF2B5EF4-FFF2-40B4-BE49-F238E27FC236}">
                <a16:creationId xmlns:a16="http://schemas.microsoft.com/office/drawing/2014/main" id="{0A33D62E-05E7-287D-4986-31FA9D866A1C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6" name="Line 31">
            <a:extLst>
              <a:ext uri="{FF2B5EF4-FFF2-40B4-BE49-F238E27FC236}">
                <a16:creationId xmlns:a16="http://schemas.microsoft.com/office/drawing/2014/main" id="{071FFB62-AF5A-3977-7500-5E03BA482712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2</xdr:col>
      <xdr:colOff>36306</xdr:colOff>
      <xdr:row>8</xdr:row>
      <xdr:rowOff>307510</xdr:rowOff>
    </xdr:from>
    <xdr:to>
      <xdr:col>6</xdr:col>
      <xdr:colOff>391810</xdr:colOff>
      <xdr:row>11</xdr:row>
      <xdr:rowOff>20220</xdr:rowOff>
    </xdr:to>
    <xdr:grpSp>
      <xdr:nvGrpSpPr>
        <xdr:cNvPr id="241" name="Group 28">
          <a:extLst>
            <a:ext uri="{FF2B5EF4-FFF2-40B4-BE49-F238E27FC236}">
              <a16:creationId xmlns:a16="http://schemas.microsoft.com/office/drawing/2014/main" id="{AF55F19E-029C-42CB-BB18-4CEB9E2A3256}"/>
            </a:ext>
          </a:extLst>
        </xdr:cNvPr>
        <xdr:cNvGrpSpPr>
          <a:grpSpLocks/>
        </xdr:cNvGrpSpPr>
      </xdr:nvGrpSpPr>
      <xdr:grpSpPr bwMode="auto">
        <a:xfrm rot="13124911">
          <a:off x="1621266" y="1869610"/>
          <a:ext cx="3525424" cy="451850"/>
          <a:chOff x="749" y="422"/>
          <a:chExt cx="163" cy="29"/>
        </a:xfrm>
      </xdr:grpSpPr>
      <xdr:sp macro="" textlink="">
        <xdr:nvSpPr>
          <xdr:cNvPr id="242" name="Line 29">
            <a:extLst>
              <a:ext uri="{FF2B5EF4-FFF2-40B4-BE49-F238E27FC236}">
                <a16:creationId xmlns:a16="http://schemas.microsoft.com/office/drawing/2014/main" id="{8CE7B2FF-23EB-CC72-CDD3-26E521222E88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43" name="Line 30">
            <a:extLst>
              <a:ext uri="{FF2B5EF4-FFF2-40B4-BE49-F238E27FC236}">
                <a16:creationId xmlns:a16="http://schemas.microsoft.com/office/drawing/2014/main" id="{88E97743-10AD-2A5E-D2D2-9E8CA6FE5A7B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44" name="Line 31">
            <a:extLst>
              <a:ext uri="{FF2B5EF4-FFF2-40B4-BE49-F238E27FC236}">
                <a16:creationId xmlns:a16="http://schemas.microsoft.com/office/drawing/2014/main" id="{952AAF4A-FC05-0E38-68A8-2217B9BBB1C5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388620</xdr:colOff>
      <xdr:row>10</xdr:row>
      <xdr:rowOff>152400</xdr:rowOff>
    </xdr:from>
    <xdr:to>
      <xdr:col>6</xdr:col>
      <xdr:colOff>723900</xdr:colOff>
      <xdr:row>13</xdr:row>
      <xdr:rowOff>15240</xdr:rowOff>
    </xdr:to>
    <xdr:pic>
      <xdr:nvPicPr>
        <xdr:cNvPr id="245" name="Picture 92">
          <a:extLst>
            <a:ext uri="{FF2B5EF4-FFF2-40B4-BE49-F238E27FC236}">
              <a16:creationId xmlns:a16="http://schemas.microsoft.com/office/drawing/2014/main" id="{43D97EA3-CEDB-4457-BC4A-856DCFE9E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1020" y="2263140"/>
          <a:ext cx="112776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22860</xdr:colOff>
      <xdr:row>11</xdr:row>
      <xdr:rowOff>152400</xdr:rowOff>
    </xdr:from>
    <xdr:to>
      <xdr:col>9</xdr:col>
      <xdr:colOff>762000</xdr:colOff>
      <xdr:row>14</xdr:row>
      <xdr:rowOff>22860</xdr:rowOff>
    </xdr:to>
    <xdr:pic>
      <xdr:nvPicPr>
        <xdr:cNvPr id="247" name="Picture 92">
          <a:extLst>
            <a:ext uri="{FF2B5EF4-FFF2-40B4-BE49-F238E27FC236}">
              <a16:creationId xmlns:a16="http://schemas.microsoft.com/office/drawing/2014/main" id="{8CD28B2D-9A65-4D03-812A-B80A6DD68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6660" y="2476500"/>
          <a:ext cx="73914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76200</xdr:colOff>
      <xdr:row>12</xdr:row>
      <xdr:rowOff>45720</xdr:rowOff>
    </xdr:from>
    <xdr:to>
      <xdr:col>11</xdr:col>
      <xdr:colOff>676275</xdr:colOff>
      <xdr:row>14</xdr:row>
      <xdr:rowOff>19050</xdr:rowOff>
    </xdr:to>
    <xdr:pic>
      <xdr:nvPicPr>
        <xdr:cNvPr id="249" name="Picture 92">
          <a:extLst>
            <a:ext uri="{FF2B5EF4-FFF2-40B4-BE49-F238E27FC236}">
              <a16:creationId xmlns:a16="http://schemas.microsoft.com/office/drawing/2014/main" id="{A73C114E-9A2F-47AB-8A85-2A1D0EBEF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0220" y="253746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335280</xdr:colOff>
      <xdr:row>11</xdr:row>
      <xdr:rowOff>60960</xdr:rowOff>
    </xdr:from>
    <xdr:to>
      <xdr:col>14</xdr:col>
      <xdr:colOff>280242</xdr:colOff>
      <xdr:row>14</xdr:row>
      <xdr:rowOff>53340</xdr:rowOff>
    </xdr:to>
    <xdr:pic>
      <xdr:nvPicPr>
        <xdr:cNvPr id="252" name="Picture 92">
          <a:extLst>
            <a:ext uri="{FF2B5EF4-FFF2-40B4-BE49-F238E27FC236}">
              <a16:creationId xmlns:a16="http://schemas.microsoft.com/office/drawing/2014/main" id="{21A9938E-D602-4184-B00C-BF6BE8099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7600" y="2339340"/>
          <a:ext cx="737442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342900</xdr:colOff>
      <xdr:row>7</xdr:row>
      <xdr:rowOff>167640</xdr:rowOff>
    </xdr:from>
    <xdr:to>
      <xdr:col>15</xdr:col>
      <xdr:colOff>287862</xdr:colOff>
      <xdr:row>9</xdr:row>
      <xdr:rowOff>53340</xdr:rowOff>
    </xdr:to>
    <xdr:pic>
      <xdr:nvPicPr>
        <xdr:cNvPr id="254" name="Picture 92">
          <a:extLst>
            <a:ext uri="{FF2B5EF4-FFF2-40B4-BE49-F238E27FC236}">
              <a16:creationId xmlns:a16="http://schemas.microsoft.com/office/drawing/2014/main" id="{7F33AA60-A282-48EB-85E7-EE55681A6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77700" y="1508760"/>
          <a:ext cx="737442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754380</xdr:colOff>
      <xdr:row>0</xdr:row>
      <xdr:rowOff>7620</xdr:rowOff>
    </xdr:from>
    <xdr:to>
      <xdr:col>7</xdr:col>
      <xdr:colOff>1173480</xdr:colOff>
      <xdr:row>1</xdr:row>
      <xdr:rowOff>144780</xdr:rowOff>
    </xdr:to>
    <xdr:pic>
      <xdr:nvPicPr>
        <xdr:cNvPr id="255" name="Picture 92">
          <a:extLst>
            <a:ext uri="{FF2B5EF4-FFF2-40B4-BE49-F238E27FC236}">
              <a16:creationId xmlns:a16="http://schemas.microsoft.com/office/drawing/2014/main" id="{A93AA14C-6A62-4791-892F-51381334D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9260" y="7620"/>
          <a:ext cx="121158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739140</xdr:colOff>
      <xdr:row>1</xdr:row>
      <xdr:rowOff>53340</xdr:rowOff>
    </xdr:from>
    <xdr:to>
      <xdr:col>13</xdr:col>
      <xdr:colOff>517668</xdr:colOff>
      <xdr:row>3</xdr:row>
      <xdr:rowOff>38100</xdr:rowOff>
    </xdr:to>
    <xdr:pic>
      <xdr:nvPicPr>
        <xdr:cNvPr id="257" name="Picture 92">
          <a:extLst>
            <a:ext uri="{FF2B5EF4-FFF2-40B4-BE49-F238E27FC236}">
              <a16:creationId xmlns:a16="http://schemas.microsoft.com/office/drawing/2014/main" id="{5CECDAC3-4E43-44D9-A052-1B467473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43160" y="220980"/>
          <a:ext cx="1416828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198120</xdr:colOff>
      <xdr:row>7</xdr:row>
      <xdr:rowOff>106680</xdr:rowOff>
    </xdr:from>
    <xdr:to>
      <xdr:col>9</xdr:col>
      <xdr:colOff>5715</xdr:colOff>
      <xdr:row>8</xdr:row>
      <xdr:rowOff>247650</xdr:rowOff>
    </xdr:to>
    <xdr:pic>
      <xdr:nvPicPr>
        <xdr:cNvPr id="259" name="Picture 92">
          <a:extLst>
            <a:ext uri="{FF2B5EF4-FFF2-40B4-BE49-F238E27FC236}">
              <a16:creationId xmlns:a16="http://schemas.microsoft.com/office/drawing/2014/main" id="{122783D7-92F2-4C1E-A6F7-E213E20D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144780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548640</xdr:colOff>
      <xdr:row>0</xdr:row>
      <xdr:rowOff>0</xdr:rowOff>
    </xdr:from>
    <xdr:to>
      <xdr:col>10</xdr:col>
      <xdr:colOff>548640</xdr:colOff>
      <xdr:row>2</xdr:row>
      <xdr:rowOff>0</xdr:rowOff>
    </xdr:to>
    <xdr:pic>
      <xdr:nvPicPr>
        <xdr:cNvPr id="261" name="Picture 92">
          <a:extLst>
            <a:ext uri="{FF2B5EF4-FFF2-40B4-BE49-F238E27FC236}">
              <a16:creationId xmlns:a16="http://schemas.microsoft.com/office/drawing/2014/main" id="{DC762D2E-53F2-4697-A79E-B940D32CE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3840" y="0"/>
          <a:ext cx="9677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144780</xdr:colOff>
      <xdr:row>27</xdr:row>
      <xdr:rowOff>60960</xdr:rowOff>
    </xdr:from>
    <xdr:to>
      <xdr:col>4</xdr:col>
      <xdr:colOff>720090</xdr:colOff>
      <xdr:row>41</xdr:row>
      <xdr:rowOff>167640</xdr:rowOff>
    </xdr:to>
    <xdr:pic>
      <xdr:nvPicPr>
        <xdr:cNvPr id="263" name="Picture 92">
          <a:extLst>
            <a:ext uri="{FF2B5EF4-FFF2-40B4-BE49-F238E27FC236}">
              <a16:creationId xmlns:a16="http://schemas.microsoft.com/office/drawing/2014/main" id="{5424DF64-5842-4A92-8989-518BFAC11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268855" y="6196965"/>
          <a:ext cx="2667000" cy="5753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114300</xdr:colOff>
      <xdr:row>23</xdr:row>
      <xdr:rowOff>68580</xdr:rowOff>
    </xdr:from>
    <xdr:to>
      <xdr:col>4</xdr:col>
      <xdr:colOff>714375</xdr:colOff>
      <xdr:row>25</xdr:row>
      <xdr:rowOff>15240</xdr:rowOff>
    </xdr:to>
    <xdr:pic>
      <xdr:nvPicPr>
        <xdr:cNvPr id="265" name="Picture 92">
          <a:extLst>
            <a:ext uri="{FF2B5EF4-FFF2-40B4-BE49-F238E27FC236}">
              <a16:creationId xmlns:a16="http://schemas.microsoft.com/office/drawing/2014/main" id="{5375EA09-4F06-4128-A5A4-E8DA8DB0A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4465320"/>
          <a:ext cx="600075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144780</xdr:colOff>
      <xdr:row>23</xdr:row>
      <xdr:rowOff>38100</xdr:rowOff>
    </xdr:from>
    <xdr:to>
      <xdr:col>7</xdr:col>
      <xdr:colOff>744855</xdr:colOff>
      <xdr:row>24</xdr:row>
      <xdr:rowOff>160020</xdr:rowOff>
    </xdr:to>
    <xdr:pic>
      <xdr:nvPicPr>
        <xdr:cNvPr id="266" name="Picture 92">
          <a:extLst>
            <a:ext uri="{FF2B5EF4-FFF2-40B4-BE49-F238E27FC236}">
              <a16:creationId xmlns:a16="http://schemas.microsoft.com/office/drawing/2014/main" id="{4CE95BA3-CEA2-41EA-BFB1-593FDB291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2140" y="4434840"/>
          <a:ext cx="600075" cy="289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228600</xdr:colOff>
      <xdr:row>26</xdr:row>
      <xdr:rowOff>193992</xdr:rowOff>
    </xdr:from>
    <xdr:to>
      <xdr:col>8</xdr:col>
      <xdr:colOff>670560</xdr:colOff>
      <xdr:row>37</xdr:row>
      <xdr:rowOff>350520</xdr:rowOff>
    </xdr:to>
    <xdr:pic>
      <xdr:nvPicPr>
        <xdr:cNvPr id="267" name="Picture 92">
          <a:extLst>
            <a:ext uri="{FF2B5EF4-FFF2-40B4-BE49-F238E27FC236}">
              <a16:creationId xmlns:a16="http://schemas.microsoft.com/office/drawing/2014/main" id="{66A2F66B-8960-4D1E-AC57-7035AA740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564346" y="6562566"/>
          <a:ext cx="3273108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266700</xdr:colOff>
      <xdr:row>26</xdr:row>
      <xdr:rowOff>182880</xdr:rowOff>
    </xdr:from>
    <xdr:to>
      <xdr:col>14</xdr:col>
      <xdr:colOff>7620</xdr:colOff>
      <xdr:row>39</xdr:row>
      <xdr:rowOff>114300</xdr:rowOff>
    </xdr:to>
    <xdr:pic>
      <xdr:nvPicPr>
        <xdr:cNvPr id="269" name="Picture 92">
          <a:extLst>
            <a:ext uri="{FF2B5EF4-FFF2-40B4-BE49-F238E27FC236}">
              <a16:creationId xmlns:a16="http://schemas.microsoft.com/office/drawing/2014/main" id="{ABEA3C6F-E798-44EC-82B5-CEDB0679C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9585960" y="6758940"/>
          <a:ext cx="377952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678180</xdr:colOff>
      <xdr:row>8</xdr:row>
      <xdr:rowOff>129540</xdr:rowOff>
    </xdr:from>
    <xdr:to>
      <xdr:col>7</xdr:col>
      <xdr:colOff>485775</xdr:colOff>
      <xdr:row>9</xdr:row>
      <xdr:rowOff>49530</xdr:rowOff>
    </xdr:to>
    <xdr:pic>
      <xdr:nvPicPr>
        <xdr:cNvPr id="271" name="Picture 92">
          <a:extLst>
            <a:ext uri="{FF2B5EF4-FFF2-40B4-BE49-F238E27FC236}">
              <a16:creationId xmlns:a16="http://schemas.microsoft.com/office/drawing/2014/main" id="{27F85053-63D9-4595-B4FC-ADD9263E2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3060" y="164592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3</xdr:row>
      <xdr:rowOff>53340</xdr:rowOff>
    </xdr:from>
    <xdr:to>
      <xdr:col>0</xdr:col>
      <xdr:colOff>729615</xdr:colOff>
      <xdr:row>5</xdr:row>
      <xdr:rowOff>57150</xdr:rowOff>
    </xdr:to>
    <xdr:pic>
      <xdr:nvPicPr>
        <xdr:cNvPr id="272" name="Picture 92">
          <a:extLst>
            <a:ext uri="{FF2B5EF4-FFF2-40B4-BE49-F238E27FC236}">
              <a16:creationId xmlns:a16="http://schemas.microsoft.com/office/drawing/2014/main" id="{4D120738-69EE-4C9A-B18A-716D0B90F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563880"/>
          <a:ext cx="600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373380</xdr:colOff>
      <xdr:row>9</xdr:row>
      <xdr:rowOff>160020</xdr:rowOff>
    </xdr:from>
    <xdr:to>
      <xdr:col>0</xdr:col>
      <xdr:colOff>706755</xdr:colOff>
      <xdr:row>11</xdr:row>
      <xdr:rowOff>133350</xdr:rowOff>
    </xdr:to>
    <xdr:grpSp>
      <xdr:nvGrpSpPr>
        <xdr:cNvPr id="280" name="Group 39">
          <a:extLst>
            <a:ext uri="{FF2B5EF4-FFF2-40B4-BE49-F238E27FC236}">
              <a16:creationId xmlns:a16="http://schemas.microsoft.com/office/drawing/2014/main" id="{08D37E8C-3E6C-4E1A-9787-9FF54294F604}"/>
            </a:ext>
          </a:extLst>
        </xdr:cNvPr>
        <xdr:cNvGrpSpPr>
          <a:grpSpLocks/>
        </xdr:cNvGrpSpPr>
      </xdr:nvGrpSpPr>
      <xdr:grpSpPr bwMode="auto">
        <a:xfrm>
          <a:off x="373380" y="2118360"/>
          <a:ext cx="333375" cy="316230"/>
          <a:chOff x="320" y="533"/>
          <a:chExt cx="52" cy="52"/>
        </a:xfrm>
      </xdr:grpSpPr>
      <xdr:sp macro="" textlink="">
        <xdr:nvSpPr>
          <xdr:cNvPr id="281" name="Rectangle 40">
            <a:extLst>
              <a:ext uri="{FF2B5EF4-FFF2-40B4-BE49-F238E27FC236}">
                <a16:creationId xmlns:a16="http://schemas.microsoft.com/office/drawing/2014/main" id="{2BEAF99C-76D7-55C8-5499-CA0BAD86B13D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2" name="Rectangle 41">
            <a:extLst>
              <a:ext uri="{FF2B5EF4-FFF2-40B4-BE49-F238E27FC236}">
                <a16:creationId xmlns:a16="http://schemas.microsoft.com/office/drawing/2014/main" id="{4BFA8D66-ABFA-C92A-6FE8-473680187C63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3" name="AutoShape 42">
            <a:extLst>
              <a:ext uri="{FF2B5EF4-FFF2-40B4-BE49-F238E27FC236}">
                <a16:creationId xmlns:a16="http://schemas.microsoft.com/office/drawing/2014/main" id="{604CFD3A-3054-4705-CEAC-DC5326398577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4" name="AutoShape 43">
            <a:extLst>
              <a:ext uri="{FF2B5EF4-FFF2-40B4-BE49-F238E27FC236}">
                <a16:creationId xmlns:a16="http://schemas.microsoft.com/office/drawing/2014/main" id="{CD2AA017-6848-3DCB-A355-C490ADA0D436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5" name="AutoShape 44">
            <a:extLst>
              <a:ext uri="{FF2B5EF4-FFF2-40B4-BE49-F238E27FC236}">
                <a16:creationId xmlns:a16="http://schemas.microsoft.com/office/drawing/2014/main" id="{980ABE3C-F6C3-9FC8-A561-333F501709B8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86" name="AutoShape 45">
            <a:extLst>
              <a:ext uri="{FF2B5EF4-FFF2-40B4-BE49-F238E27FC236}">
                <a16:creationId xmlns:a16="http://schemas.microsoft.com/office/drawing/2014/main" id="{EF67139A-3741-6392-131E-D8D1FCA57EC9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s-VE"/>
          </a:p>
        </xdr:txBody>
      </xdr:sp>
    </xdr:grpSp>
    <xdr:clientData/>
  </xdr:twoCellAnchor>
  <xdr:twoCellAnchor>
    <xdr:from>
      <xdr:col>14</xdr:col>
      <xdr:colOff>274320</xdr:colOff>
      <xdr:row>26</xdr:row>
      <xdr:rowOff>106680</xdr:rowOff>
    </xdr:from>
    <xdr:to>
      <xdr:col>14</xdr:col>
      <xdr:colOff>716280</xdr:colOff>
      <xdr:row>36</xdr:row>
      <xdr:rowOff>335280</xdr:rowOff>
    </xdr:to>
    <xdr:pic>
      <xdr:nvPicPr>
        <xdr:cNvPr id="287" name="Picture 92">
          <a:extLst>
            <a:ext uri="{FF2B5EF4-FFF2-40B4-BE49-F238E27FC236}">
              <a16:creationId xmlns:a16="http://schemas.microsoft.com/office/drawing/2014/main" id="{9E3195DE-E5DC-4849-A177-22981FFF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721340" y="6393180"/>
          <a:ext cx="301752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7620</xdr:colOff>
      <xdr:row>15</xdr:row>
      <xdr:rowOff>160020</xdr:rowOff>
    </xdr:from>
    <xdr:to>
      <xdr:col>14</xdr:col>
      <xdr:colOff>762000</xdr:colOff>
      <xdr:row>16</xdr:row>
      <xdr:rowOff>129540</xdr:rowOff>
    </xdr:to>
    <xdr:grpSp>
      <xdr:nvGrpSpPr>
        <xdr:cNvPr id="288" name="Group 28">
          <a:extLst>
            <a:ext uri="{FF2B5EF4-FFF2-40B4-BE49-F238E27FC236}">
              <a16:creationId xmlns:a16="http://schemas.microsoft.com/office/drawing/2014/main" id="{7414B162-C93E-467E-9030-4308A38B016C}"/>
            </a:ext>
          </a:extLst>
        </xdr:cNvPr>
        <xdr:cNvGrpSpPr>
          <a:grpSpLocks/>
        </xdr:cNvGrpSpPr>
      </xdr:nvGrpSpPr>
      <xdr:grpSpPr bwMode="auto">
        <a:xfrm>
          <a:off x="11049000" y="3169920"/>
          <a:ext cx="1546860" cy="190500"/>
          <a:chOff x="749" y="422"/>
          <a:chExt cx="163" cy="29"/>
        </a:xfrm>
      </xdr:grpSpPr>
      <xdr:sp macro="" textlink="">
        <xdr:nvSpPr>
          <xdr:cNvPr id="289" name="Line 29">
            <a:extLst>
              <a:ext uri="{FF2B5EF4-FFF2-40B4-BE49-F238E27FC236}">
                <a16:creationId xmlns:a16="http://schemas.microsoft.com/office/drawing/2014/main" id="{983945C0-84E2-11A6-71C2-922E442B8B6B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0" name="Line 30">
            <a:extLst>
              <a:ext uri="{FF2B5EF4-FFF2-40B4-BE49-F238E27FC236}">
                <a16:creationId xmlns:a16="http://schemas.microsoft.com/office/drawing/2014/main" id="{21AA6B81-C2D6-6D8C-CCB9-0D1577695306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1" name="Line 31">
            <a:extLst>
              <a:ext uri="{FF2B5EF4-FFF2-40B4-BE49-F238E27FC236}">
                <a16:creationId xmlns:a16="http://schemas.microsoft.com/office/drawing/2014/main" id="{E390B0DD-201D-4434-F9ED-13DB4962123E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1188720</xdr:colOff>
      <xdr:row>16</xdr:row>
      <xdr:rowOff>167640</xdr:rowOff>
    </xdr:to>
    <xdr:grpSp>
      <xdr:nvGrpSpPr>
        <xdr:cNvPr id="296" name="Group 28">
          <a:extLst>
            <a:ext uri="{FF2B5EF4-FFF2-40B4-BE49-F238E27FC236}">
              <a16:creationId xmlns:a16="http://schemas.microsoft.com/office/drawing/2014/main" id="{5B20DEA9-2937-4E89-96FB-33FA667A4429}"/>
            </a:ext>
          </a:extLst>
        </xdr:cNvPr>
        <xdr:cNvGrpSpPr>
          <a:grpSpLocks/>
        </xdr:cNvGrpSpPr>
      </xdr:nvGrpSpPr>
      <xdr:grpSpPr bwMode="auto">
        <a:xfrm>
          <a:off x="5547360" y="3230880"/>
          <a:ext cx="1188720" cy="167640"/>
          <a:chOff x="749" y="422"/>
          <a:chExt cx="163" cy="29"/>
        </a:xfrm>
      </xdr:grpSpPr>
      <xdr:sp macro="" textlink="">
        <xdr:nvSpPr>
          <xdr:cNvPr id="297" name="Line 29">
            <a:extLst>
              <a:ext uri="{FF2B5EF4-FFF2-40B4-BE49-F238E27FC236}">
                <a16:creationId xmlns:a16="http://schemas.microsoft.com/office/drawing/2014/main" id="{F5D32D4A-515E-D442-22A9-498E0FAB7387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8" name="Line 30">
            <a:extLst>
              <a:ext uri="{FF2B5EF4-FFF2-40B4-BE49-F238E27FC236}">
                <a16:creationId xmlns:a16="http://schemas.microsoft.com/office/drawing/2014/main" id="{BF9AED0B-1885-E91A-ABDF-D131A144F3AA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99" name="Line 31">
            <a:extLst>
              <a:ext uri="{FF2B5EF4-FFF2-40B4-BE49-F238E27FC236}">
                <a16:creationId xmlns:a16="http://schemas.microsoft.com/office/drawing/2014/main" id="{39452555-7F10-9F84-3E4F-2498ADA78222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</xdr:col>
      <xdr:colOff>0</xdr:colOff>
      <xdr:row>15</xdr:row>
      <xdr:rowOff>213360</xdr:rowOff>
    </xdr:from>
    <xdr:to>
      <xdr:col>5</xdr:col>
      <xdr:colOff>15240</xdr:colOff>
      <xdr:row>16</xdr:row>
      <xdr:rowOff>129540</xdr:rowOff>
    </xdr:to>
    <xdr:grpSp>
      <xdr:nvGrpSpPr>
        <xdr:cNvPr id="300" name="Group 28">
          <a:extLst>
            <a:ext uri="{FF2B5EF4-FFF2-40B4-BE49-F238E27FC236}">
              <a16:creationId xmlns:a16="http://schemas.microsoft.com/office/drawing/2014/main" id="{4F0B48FE-F4E1-4EF8-8DC8-00487183C307}"/>
            </a:ext>
          </a:extLst>
        </xdr:cNvPr>
        <xdr:cNvGrpSpPr>
          <a:grpSpLocks/>
        </xdr:cNvGrpSpPr>
      </xdr:nvGrpSpPr>
      <xdr:grpSpPr bwMode="auto">
        <a:xfrm>
          <a:off x="3169920" y="3223260"/>
          <a:ext cx="807720" cy="137160"/>
          <a:chOff x="749" y="422"/>
          <a:chExt cx="163" cy="29"/>
        </a:xfrm>
      </xdr:grpSpPr>
      <xdr:sp macro="" textlink="">
        <xdr:nvSpPr>
          <xdr:cNvPr id="301" name="Line 29">
            <a:extLst>
              <a:ext uri="{FF2B5EF4-FFF2-40B4-BE49-F238E27FC236}">
                <a16:creationId xmlns:a16="http://schemas.microsoft.com/office/drawing/2014/main" id="{C237DD5E-C241-09C5-D44C-C519421DF68D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02" name="Line 30">
            <a:extLst>
              <a:ext uri="{FF2B5EF4-FFF2-40B4-BE49-F238E27FC236}">
                <a16:creationId xmlns:a16="http://schemas.microsoft.com/office/drawing/2014/main" id="{F7ED0E19-BF2E-089B-EEA3-75B3C9F86F76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03" name="Line 31">
            <a:extLst>
              <a:ext uri="{FF2B5EF4-FFF2-40B4-BE49-F238E27FC236}">
                <a16:creationId xmlns:a16="http://schemas.microsoft.com/office/drawing/2014/main" id="{FA4619DA-5448-BEFF-74A7-6DBEE5AEA1D5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121920</xdr:colOff>
      <xdr:row>14</xdr:row>
      <xdr:rowOff>15240</xdr:rowOff>
    </xdr:from>
    <xdr:to>
      <xdr:col>10</xdr:col>
      <xdr:colOff>721995</xdr:colOff>
      <xdr:row>15</xdr:row>
      <xdr:rowOff>156210</xdr:rowOff>
    </xdr:to>
    <xdr:pic>
      <xdr:nvPicPr>
        <xdr:cNvPr id="304" name="Picture 92">
          <a:extLst>
            <a:ext uri="{FF2B5EF4-FFF2-40B4-BE49-F238E27FC236}">
              <a16:creationId xmlns:a16="http://schemas.microsoft.com/office/drawing/2014/main" id="{7E8A3E7E-753A-4DDB-B759-723D4319F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3460" y="2842260"/>
          <a:ext cx="6000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99060</xdr:colOff>
      <xdr:row>12</xdr:row>
      <xdr:rowOff>152400</xdr:rowOff>
    </xdr:from>
    <xdr:to>
      <xdr:col>0</xdr:col>
      <xdr:colOff>699135</xdr:colOff>
      <xdr:row>14</xdr:row>
      <xdr:rowOff>118110</xdr:rowOff>
    </xdr:to>
    <xdr:pic>
      <xdr:nvPicPr>
        <xdr:cNvPr id="306" name="Picture 92">
          <a:extLst>
            <a:ext uri="{FF2B5EF4-FFF2-40B4-BE49-F238E27FC236}">
              <a16:creationId xmlns:a16="http://schemas.microsoft.com/office/drawing/2014/main" id="{3DFB42A2-BB9B-45BB-B1C1-FCA3779B9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264414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104775</xdr:colOff>
      <xdr:row>5</xdr:row>
      <xdr:rowOff>85725</xdr:rowOff>
    </xdr:from>
    <xdr:to>
      <xdr:col>12</xdr:col>
      <xdr:colOff>561975</xdr:colOff>
      <xdr:row>6</xdr:row>
      <xdr:rowOff>123825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28D60039-633E-47ED-8335-5D39071ACE0E}"/>
            </a:ext>
          </a:extLst>
        </xdr:cNvPr>
        <xdr:cNvSpPr>
          <a:spLocks noChangeArrowheads="1"/>
        </xdr:cNvSpPr>
      </xdr:nvSpPr>
      <xdr:spPr bwMode="auto">
        <a:xfrm>
          <a:off x="9715500" y="971550"/>
          <a:ext cx="457200" cy="200025"/>
        </a:xfrm>
        <a:prstGeom prst="rightArrow">
          <a:avLst>
            <a:gd name="adj1" fmla="val 39398"/>
            <a:gd name="adj2" fmla="val 50286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114300</xdr:colOff>
      <xdr:row>7</xdr:row>
      <xdr:rowOff>114300</xdr:rowOff>
    </xdr:from>
    <xdr:to>
      <xdr:col>8</xdr:col>
      <xdr:colOff>590550</xdr:colOff>
      <xdr:row>8</xdr:row>
      <xdr:rowOff>161925</xdr:rowOff>
    </xdr:to>
    <xdr:sp macro="" textlink="">
      <xdr:nvSpPr>
        <xdr:cNvPr id="2615" name="AutoShape 2">
          <a:extLst>
            <a:ext uri="{FF2B5EF4-FFF2-40B4-BE49-F238E27FC236}">
              <a16:creationId xmlns:a16="http://schemas.microsoft.com/office/drawing/2014/main" id="{435210E6-F658-4DE9-B89C-411D2241EB92}"/>
            </a:ext>
          </a:extLst>
        </xdr:cNvPr>
        <xdr:cNvSpPr>
          <a:spLocks noChangeArrowheads="1"/>
        </xdr:cNvSpPr>
      </xdr:nvSpPr>
      <xdr:spPr bwMode="auto">
        <a:xfrm>
          <a:off x="5619750" y="1314450"/>
          <a:ext cx="476250" cy="200025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152400</xdr:colOff>
      <xdr:row>5</xdr:row>
      <xdr:rowOff>47625</xdr:rowOff>
    </xdr:from>
    <xdr:to>
      <xdr:col>8</xdr:col>
      <xdr:colOff>304800</xdr:colOff>
      <xdr:row>6</xdr:row>
      <xdr:rowOff>161925</xdr:rowOff>
    </xdr:to>
    <xdr:grpSp>
      <xdr:nvGrpSpPr>
        <xdr:cNvPr id="2616" name="Group 3">
          <a:extLst>
            <a:ext uri="{FF2B5EF4-FFF2-40B4-BE49-F238E27FC236}">
              <a16:creationId xmlns:a16="http://schemas.microsoft.com/office/drawing/2014/main" id="{CC5F78BD-ADA7-4EC9-9FC7-49056ECC1932}"/>
            </a:ext>
          </a:extLst>
        </xdr:cNvPr>
        <xdr:cNvGrpSpPr>
          <a:grpSpLocks/>
        </xdr:cNvGrpSpPr>
      </xdr:nvGrpSpPr>
      <xdr:grpSpPr bwMode="auto">
        <a:xfrm>
          <a:off x="5951220" y="923925"/>
          <a:ext cx="152400" cy="251460"/>
          <a:chOff x="572" y="516"/>
          <a:chExt cx="44" cy="130"/>
        </a:xfrm>
      </xdr:grpSpPr>
      <xdr:cxnSp macro="">
        <xdr:nvCxnSpPr>
          <xdr:cNvPr id="2700" name="AutoShape 4">
            <a:extLst>
              <a:ext uri="{FF2B5EF4-FFF2-40B4-BE49-F238E27FC236}">
                <a16:creationId xmlns:a16="http://schemas.microsoft.com/office/drawing/2014/main" id="{62200D7D-B1E1-4E41-8C51-3370A9F75130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614" y="517"/>
            <a:ext cx="1" cy="129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701" name="AutoShape 5">
            <a:extLst>
              <a:ext uri="{FF2B5EF4-FFF2-40B4-BE49-F238E27FC236}">
                <a16:creationId xmlns:a16="http://schemas.microsoft.com/office/drawing/2014/main" id="{ED7F35C4-61D8-4DBD-B8C0-F1399670784C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702" name="AutoShape 6">
            <a:extLst>
              <a:ext uri="{FF2B5EF4-FFF2-40B4-BE49-F238E27FC236}">
                <a16:creationId xmlns:a16="http://schemas.microsoft.com/office/drawing/2014/main" id="{E90302E2-9A37-4C4F-A96D-9D78F64A95B1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703" name="AutoShape 7">
            <a:extLst>
              <a:ext uri="{FF2B5EF4-FFF2-40B4-BE49-F238E27FC236}">
                <a16:creationId xmlns:a16="http://schemas.microsoft.com/office/drawing/2014/main" id="{BBC41DBC-2D1E-4646-AE6C-7F9DE38383C0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58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704" name="AutoShape 8">
            <a:extLst>
              <a:ext uri="{FF2B5EF4-FFF2-40B4-BE49-F238E27FC236}">
                <a16:creationId xmlns:a16="http://schemas.microsoft.com/office/drawing/2014/main" id="{B041B5B9-F9BC-451E-9127-AAFAA5E9E871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602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705" name="AutoShape 9">
            <a:extLst>
              <a:ext uri="{FF2B5EF4-FFF2-40B4-BE49-F238E27FC236}">
                <a16:creationId xmlns:a16="http://schemas.microsoft.com/office/drawing/2014/main" id="{B0DB4839-D53B-4533-B15F-FFC40A558230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3" y="644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14</xdr:col>
      <xdr:colOff>91440</xdr:colOff>
      <xdr:row>9</xdr:row>
      <xdr:rowOff>38100</xdr:rowOff>
    </xdr:from>
    <xdr:to>
      <xdr:col>14</xdr:col>
      <xdr:colOff>520065</xdr:colOff>
      <xdr:row>10</xdr:row>
      <xdr:rowOff>133350</xdr:rowOff>
    </xdr:to>
    <xdr:grpSp>
      <xdr:nvGrpSpPr>
        <xdr:cNvPr id="2617" name="Group 10">
          <a:extLst>
            <a:ext uri="{FF2B5EF4-FFF2-40B4-BE49-F238E27FC236}">
              <a16:creationId xmlns:a16="http://schemas.microsoft.com/office/drawing/2014/main" id="{54D2E0B1-EC3E-4FF7-A709-823E4FF6F9E7}"/>
            </a:ext>
          </a:extLst>
        </xdr:cNvPr>
        <xdr:cNvGrpSpPr>
          <a:grpSpLocks/>
        </xdr:cNvGrpSpPr>
      </xdr:nvGrpSpPr>
      <xdr:grpSpPr bwMode="auto">
        <a:xfrm>
          <a:off x="12306300" y="1508760"/>
          <a:ext cx="428625" cy="240030"/>
          <a:chOff x="267" y="335"/>
          <a:chExt cx="150" cy="88"/>
        </a:xfrm>
      </xdr:grpSpPr>
      <xdr:sp macro="" textlink="">
        <xdr:nvSpPr>
          <xdr:cNvPr id="2693" name="Rectangle 11">
            <a:extLst>
              <a:ext uri="{FF2B5EF4-FFF2-40B4-BE49-F238E27FC236}">
                <a16:creationId xmlns:a16="http://schemas.microsoft.com/office/drawing/2014/main" id="{AC0ACE76-7F85-4114-885F-C3E325CAE9C2}"/>
              </a:ext>
            </a:extLst>
          </xdr:cNvPr>
          <xdr:cNvSpPr>
            <a:spLocks noChangeArrowheads="1"/>
          </xdr:cNvSpPr>
        </xdr:nvSpPr>
        <xdr:spPr bwMode="auto">
          <a:xfrm>
            <a:off x="268" y="351"/>
            <a:ext cx="149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694" name="AutoShape 12">
            <a:extLst>
              <a:ext uri="{FF2B5EF4-FFF2-40B4-BE49-F238E27FC236}">
                <a16:creationId xmlns:a16="http://schemas.microsoft.com/office/drawing/2014/main" id="{E0A08422-8760-43BF-9C14-BFD713A5B73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695" name="AutoShape 13">
            <a:extLst>
              <a:ext uri="{FF2B5EF4-FFF2-40B4-BE49-F238E27FC236}">
                <a16:creationId xmlns:a16="http://schemas.microsoft.com/office/drawing/2014/main" id="{A4B22E3A-0FAE-482E-B988-5D5A4EEDCDD0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696" name="AutoShape 14">
            <a:extLst>
              <a:ext uri="{FF2B5EF4-FFF2-40B4-BE49-F238E27FC236}">
                <a16:creationId xmlns:a16="http://schemas.microsoft.com/office/drawing/2014/main" id="{9476E49D-D97A-48F8-A8DA-D6702BAC595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697" name="AutoShape 15">
            <a:extLst>
              <a:ext uri="{FF2B5EF4-FFF2-40B4-BE49-F238E27FC236}">
                <a16:creationId xmlns:a16="http://schemas.microsoft.com/office/drawing/2014/main" id="{D9E4B3AA-6226-4C24-9674-046D098EF8E6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698" name="AutoShape 16">
            <a:extLst>
              <a:ext uri="{FF2B5EF4-FFF2-40B4-BE49-F238E27FC236}">
                <a16:creationId xmlns:a16="http://schemas.microsoft.com/office/drawing/2014/main" id="{C293B2C4-6118-4893-BAB0-8F4B71EF73FF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699" name="AutoShape 17">
            <a:extLst>
              <a:ext uri="{FF2B5EF4-FFF2-40B4-BE49-F238E27FC236}">
                <a16:creationId xmlns:a16="http://schemas.microsoft.com/office/drawing/2014/main" id="{FCB2A3AC-D498-42BB-9669-F15A6EF2E8F9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12</xdr:col>
      <xdr:colOff>200025</xdr:colOff>
      <xdr:row>7</xdr:row>
      <xdr:rowOff>28575</xdr:rowOff>
    </xdr:from>
    <xdr:to>
      <xdr:col>12</xdr:col>
      <xdr:colOff>438150</xdr:colOff>
      <xdr:row>8</xdr:row>
      <xdr:rowOff>133350</xdr:rowOff>
    </xdr:to>
    <xdr:sp macro="" textlink="">
      <xdr:nvSpPr>
        <xdr:cNvPr id="2618" name="AutoShape 18">
          <a:extLst>
            <a:ext uri="{FF2B5EF4-FFF2-40B4-BE49-F238E27FC236}">
              <a16:creationId xmlns:a16="http://schemas.microsoft.com/office/drawing/2014/main" id="{C0D97596-8FCE-4E4C-B0AD-34D8715F4EA0}"/>
            </a:ext>
          </a:extLst>
        </xdr:cNvPr>
        <xdr:cNvSpPr>
          <a:spLocks noChangeArrowheads="1"/>
        </xdr:cNvSpPr>
      </xdr:nvSpPr>
      <xdr:spPr bwMode="auto">
        <a:xfrm flipH="1">
          <a:off x="9810750" y="1228725"/>
          <a:ext cx="238125" cy="257175"/>
        </a:xfrm>
        <a:custGeom>
          <a:avLst/>
          <a:gdLst>
            <a:gd name="T0" fmla="*/ 28833399 w 21600"/>
            <a:gd name="T1" fmla="*/ 20439495 h 21600"/>
            <a:gd name="T2" fmla="*/ 1894494 w 21600"/>
            <a:gd name="T3" fmla="*/ 9210354 h 21600"/>
            <a:gd name="T4" fmla="*/ 28833399 w 21600"/>
            <a:gd name="T5" fmla="*/ 20439495 h 21600"/>
            <a:gd name="T6" fmla="*/ -2942244 w 21600"/>
            <a:gd name="T7" fmla="*/ 24399097 h 21600"/>
            <a:gd name="T8" fmla="*/ -439473 w 21600"/>
            <a:gd name="T9" fmla="*/ 18778645 h 21600"/>
            <a:gd name="T10" fmla="*/ 4022207 w 21600"/>
            <a:gd name="T11" fmla="*/ 21931503 h 2160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3163 w 21600"/>
            <a:gd name="T19" fmla="*/ 3163 h 21600"/>
            <a:gd name="T20" fmla="*/ 18437 w 21600"/>
            <a:gd name="T21" fmla="*/ 18437 h 2160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21600" h="21600">
              <a:moveTo>
                <a:pt x="403" y="13725"/>
              </a:moveTo>
              <a:cubicBezTo>
                <a:pt x="1714" y="18382"/>
                <a:pt x="5961" y="21599"/>
                <a:pt x="10800" y="21599"/>
              </a:cubicBezTo>
              <a:cubicBezTo>
                <a:pt x="16764" y="21600"/>
                <a:pt x="21600" y="16764"/>
                <a:pt x="21600" y="10800"/>
              </a:cubicBezTo>
              <a:cubicBezTo>
                <a:pt x="21600" y="4835"/>
                <a:pt x="16764" y="0"/>
                <a:pt x="10800" y="0"/>
              </a:cubicBezTo>
              <a:cubicBezTo>
                <a:pt x="6918" y="0"/>
                <a:pt x="3334" y="2083"/>
                <a:pt x="1414" y="5457"/>
              </a:cubicBezTo>
              <a:cubicBezTo>
                <a:pt x="3334" y="2083"/>
                <a:pt x="6918" y="0"/>
                <a:pt x="10800" y="0"/>
              </a:cubicBezTo>
              <a:cubicBezTo>
                <a:pt x="16764" y="0"/>
                <a:pt x="21600" y="4835"/>
                <a:pt x="21600" y="10800"/>
              </a:cubicBezTo>
              <a:cubicBezTo>
                <a:pt x="21600" y="16764"/>
                <a:pt x="16764" y="21600"/>
                <a:pt x="10800" y="21600"/>
              </a:cubicBezTo>
              <a:cubicBezTo>
                <a:pt x="5961" y="21599"/>
                <a:pt x="1714" y="18382"/>
                <a:pt x="403" y="13725"/>
              </a:cubicBezTo>
              <a:lnTo>
                <a:pt x="-2196" y="14456"/>
              </a:lnTo>
              <a:lnTo>
                <a:pt x="-328" y="11126"/>
              </a:lnTo>
              <a:lnTo>
                <a:pt x="3002" y="12994"/>
              </a:lnTo>
              <a:lnTo>
                <a:pt x="403" y="13725"/>
              </a:ln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381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47625</xdr:colOff>
      <xdr:row>9</xdr:row>
      <xdr:rowOff>85725</xdr:rowOff>
    </xdr:from>
    <xdr:to>
      <xdr:col>13</xdr:col>
      <xdr:colOff>0</xdr:colOff>
      <xdr:row>10</xdr:row>
      <xdr:rowOff>104775</xdr:rowOff>
    </xdr:to>
    <xdr:sp macro="" textlink="">
      <xdr:nvSpPr>
        <xdr:cNvPr id="2068" name="Rectangle 20">
          <a:extLst>
            <a:ext uri="{FF2B5EF4-FFF2-40B4-BE49-F238E27FC236}">
              <a16:creationId xmlns:a16="http://schemas.microsoft.com/office/drawing/2014/main" id="{68309503-3DFD-4F89-9B33-7DB4A5D9A9B7}"/>
            </a:ext>
          </a:extLst>
        </xdr:cNvPr>
        <xdr:cNvSpPr>
          <a:spLocks noChangeArrowheads="1"/>
        </xdr:cNvSpPr>
      </xdr:nvSpPr>
      <xdr:spPr bwMode="auto">
        <a:xfrm>
          <a:off x="9658350" y="1600200"/>
          <a:ext cx="71437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27432" rIns="27432" bIns="0" anchor="t" upright="1"/>
        <a:lstStyle/>
        <a:p>
          <a:pPr algn="ctr" rtl="0">
            <a:defRPr sz="1000"/>
          </a:pPr>
          <a:r>
            <a:rPr lang="es-MX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0 X  0 X</a:t>
          </a:r>
        </a:p>
      </xdr:txBody>
    </xdr:sp>
    <xdr:clientData/>
  </xdr:twoCellAnchor>
  <xdr:twoCellAnchor>
    <xdr:from>
      <xdr:col>10</xdr:col>
      <xdr:colOff>0</xdr:colOff>
      <xdr:row>5</xdr:row>
      <xdr:rowOff>85725</xdr:rowOff>
    </xdr:from>
    <xdr:to>
      <xdr:col>10</xdr:col>
      <xdr:colOff>723900</xdr:colOff>
      <xdr:row>6</xdr:row>
      <xdr:rowOff>123825</xdr:rowOff>
    </xdr:to>
    <xdr:grpSp>
      <xdr:nvGrpSpPr>
        <xdr:cNvPr id="2620" name="Group 23">
          <a:extLst>
            <a:ext uri="{FF2B5EF4-FFF2-40B4-BE49-F238E27FC236}">
              <a16:creationId xmlns:a16="http://schemas.microsoft.com/office/drawing/2014/main" id="{DBC7D101-FC44-436F-9B66-AF7861C7921C}"/>
            </a:ext>
          </a:extLst>
        </xdr:cNvPr>
        <xdr:cNvGrpSpPr>
          <a:grpSpLocks/>
        </xdr:cNvGrpSpPr>
      </xdr:nvGrpSpPr>
      <xdr:grpSpPr bwMode="auto">
        <a:xfrm>
          <a:off x="7840980" y="962025"/>
          <a:ext cx="723900" cy="190500"/>
          <a:chOff x="1791" y="271"/>
          <a:chExt cx="114" cy="37"/>
        </a:xfrm>
      </xdr:grpSpPr>
      <xdr:sp macro="" textlink="">
        <xdr:nvSpPr>
          <xdr:cNvPr id="2689" name="Line 24">
            <a:extLst>
              <a:ext uri="{FF2B5EF4-FFF2-40B4-BE49-F238E27FC236}">
                <a16:creationId xmlns:a16="http://schemas.microsoft.com/office/drawing/2014/main" id="{5B7483EB-784A-4E77-92E9-EF38D0722AA1}"/>
              </a:ext>
            </a:extLst>
          </xdr:cNvPr>
          <xdr:cNvSpPr>
            <a:spLocks noChangeShapeType="1"/>
          </xdr:cNvSpPr>
        </xdr:nvSpPr>
        <xdr:spPr bwMode="auto">
          <a:xfrm>
            <a:off x="1792" y="289"/>
            <a:ext cx="113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073" name="Text Box 25">
            <a:extLst>
              <a:ext uri="{FF2B5EF4-FFF2-40B4-BE49-F238E27FC236}">
                <a16:creationId xmlns:a16="http://schemas.microsoft.com/office/drawing/2014/main" id="{9F8DB812-CA84-4041-9DE3-D3C8FBE316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09" y="271"/>
            <a:ext cx="68" cy="3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</xdr:spPr>
        <xdr:txBody>
          <a:bodyPr vertOverflow="clip" wrap="square" lIns="27432" tIns="27432" rIns="0" bIns="0" anchor="t" upright="1"/>
          <a:lstStyle/>
          <a:p>
            <a:pPr algn="l" rtl="0">
              <a:defRPr sz="1000"/>
            </a:pPr>
            <a:r>
              <a:rPr lang="es-MX" sz="11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FIFO</a:t>
            </a:r>
          </a:p>
        </xdr:txBody>
      </xdr:sp>
      <xdr:sp macro="" textlink="">
        <xdr:nvSpPr>
          <xdr:cNvPr id="2691" name="Line 26">
            <a:extLst>
              <a:ext uri="{FF2B5EF4-FFF2-40B4-BE49-F238E27FC236}">
                <a16:creationId xmlns:a16="http://schemas.microsoft.com/office/drawing/2014/main" id="{5116033C-0DEE-4C28-9ED2-6A5DCA45AAE0}"/>
              </a:ext>
            </a:extLst>
          </xdr:cNvPr>
          <xdr:cNvSpPr>
            <a:spLocks noChangeShapeType="1"/>
          </xdr:cNvSpPr>
        </xdr:nvSpPr>
        <xdr:spPr bwMode="auto">
          <a:xfrm>
            <a:off x="1791" y="271"/>
            <a:ext cx="108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92" name="Line 27">
            <a:extLst>
              <a:ext uri="{FF2B5EF4-FFF2-40B4-BE49-F238E27FC236}">
                <a16:creationId xmlns:a16="http://schemas.microsoft.com/office/drawing/2014/main" id="{BD192D9A-089C-462A-B13D-EE46D315E8F8}"/>
              </a:ext>
            </a:extLst>
          </xdr:cNvPr>
          <xdr:cNvSpPr>
            <a:spLocks noChangeShapeType="1"/>
          </xdr:cNvSpPr>
        </xdr:nvSpPr>
        <xdr:spPr bwMode="auto">
          <a:xfrm>
            <a:off x="1793" y="308"/>
            <a:ext cx="108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8</xdr:col>
      <xdr:colOff>66675</xdr:colOff>
      <xdr:row>9</xdr:row>
      <xdr:rowOff>142875</xdr:rowOff>
    </xdr:from>
    <xdr:to>
      <xdr:col>8</xdr:col>
      <xdr:colOff>609600</xdr:colOff>
      <xdr:row>10</xdr:row>
      <xdr:rowOff>76200</xdr:rowOff>
    </xdr:to>
    <xdr:grpSp>
      <xdr:nvGrpSpPr>
        <xdr:cNvPr id="2621" name="Group 28">
          <a:extLst>
            <a:ext uri="{FF2B5EF4-FFF2-40B4-BE49-F238E27FC236}">
              <a16:creationId xmlns:a16="http://schemas.microsoft.com/office/drawing/2014/main" id="{E778630A-423A-4DB8-BE59-776FF38C7596}"/>
            </a:ext>
          </a:extLst>
        </xdr:cNvPr>
        <xdr:cNvGrpSpPr>
          <a:grpSpLocks/>
        </xdr:cNvGrpSpPr>
      </xdr:nvGrpSpPr>
      <xdr:grpSpPr bwMode="auto">
        <a:xfrm>
          <a:off x="5865495" y="1613535"/>
          <a:ext cx="542925" cy="78105"/>
          <a:chOff x="749" y="422"/>
          <a:chExt cx="163" cy="29"/>
        </a:xfrm>
      </xdr:grpSpPr>
      <xdr:sp macro="" textlink="">
        <xdr:nvSpPr>
          <xdr:cNvPr id="2686" name="Line 29">
            <a:extLst>
              <a:ext uri="{FF2B5EF4-FFF2-40B4-BE49-F238E27FC236}">
                <a16:creationId xmlns:a16="http://schemas.microsoft.com/office/drawing/2014/main" id="{5CC2DC11-8CB6-4031-9FB4-4F10247DFD3B}"/>
              </a:ext>
            </a:extLst>
          </xdr:cNvPr>
          <xdr:cNvSpPr>
            <a:spLocks noChangeShapeType="1"/>
          </xdr:cNvSpPr>
        </xdr:nvSpPr>
        <xdr:spPr bwMode="auto">
          <a:xfrm rot="-433784">
            <a:off x="771" y="424"/>
            <a:ext cx="40" cy="2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87" name="Line 30">
            <a:extLst>
              <a:ext uri="{FF2B5EF4-FFF2-40B4-BE49-F238E27FC236}">
                <a16:creationId xmlns:a16="http://schemas.microsoft.com/office/drawing/2014/main" id="{E20A9697-3026-4E0A-9747-98134073A5E0}"/>
              </a:ext>
            </a:extLst>
          </xdr:cNvPr>
          <xdr:cNvSpPr>
            <a:spLocks noChangeShapeType="1"/>
          </xdr:cNvSpPr>
        </xdr:nvSpPr>
        <xdr:spPr bwMode="auto">
          <a:xfrm rot="-285157">
            <a:off x="749" y="447"/>
            <a:ext cx="68" cy="4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88" name="Line 31">
            <a:extLst>
              <a:ext uri="{FF2B5EF4-FFF2-40B4-BE49-F238E27FC236}">
                <a16:creationId xmlns:a16="http://schemas.microsoft.com/office/drawing/2014/main" id="{97B1A353-878E-4927-87D9-DB21DE3037DE}"/>
              </a:ext>
            </a:extLst>
          </xdr:cNvPr>
          <xdr:cNvSpPr>
            <a:spLocks noChangeShapeType="1"/>
          </xdr:cNvSpPr>
        </xdr:nvSpPr>
        <xdr:spPr bwMode="auto">
          <a:xfrm rot="10556127" flipH="1" flipV="1">
            <a:off x="771" y="422"/>
            <a:ext cx="141" cy="11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FF" mc:Ignorable="a14" a14:legacySpreadsheetColorIndex="12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38100</xdr:colOff>
      <xdr:row>10</xdr:row>
      <xdr:rowOff>9525</xdr:rowOff>
    </xdr:from>
    <xdr:to>
      <xdr:col>10</xdr:col>
      <xdr:colOff>504825</xdr:colOff>
      <xdr:row>10</xdr:row>
      <xdr:rowOff>19050</xdr:rowOff>
    </xdr:to>
    <xdr:cxnSp macro="">
      <xdr:nvCxnSpPr>
        <xdr:cNvPr id="2622" name="AutoShape 32">
          <a:extLst>
            <a:ext uri="{FF2B5EF4-FFF2-40B4-BE49-F238E27FC236}">
              <a16:creationId xmlns:a16="http://schemas.microsoft.com/office/drawing/2014/main" id="{84B0BB09-BADC-481E-9518-1EE0E3453B37}"/>
            </a:ext>
          </a:extLst>
        </xdr:cNvPr>
        <xdr:cNvCxnSpPr>
          <a:cxnSpLocks noChangeShapeType="1"/>
        </xdr:cNvCxnSpPr>
      </xdr:nvCxnSpPr>
      <xdr:spPr bwMode="auto">
        <a:xfrm flipV="1">
          <a:off x="7524750" y="1676400"/>
          <a:ext cx="466725" cy="9525"/>
        </a:xfrm>
        <a:prstGeom prst="straightConnector1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104775</xdr:colOff>
      <xdr:row>5</xdr:row>
      <xdr:rowOff>85725</xdr:rowOff>
    </xdr:from>
    <xdr:to>
      <xdr:col>12</xdr:col>
      <xdr:colOff>561975</xdr:colOff>
      <xdr:row>6</xdr:row>
      <xdr:rowOff>123825</xdr:rowOff>
    </xdr:to>
    <xdr:sp macro="" textlink="">
      <xdr:nvSpPr>
        <xdr:cNvPr id="2623" name="AutoShape 33">
          <a:extLst>
            <a:ext uri="{FF2B5EF4-FFF2-40B4-BE49-F238E27FC236}">
              <a16:creationId xmlns:a16="http://schemas.microsoft.com/office/drawing/2014/main" id="{A394DC8D-379F-49A9-AE3A-45EECB6FE594}"/>
            </a:ext>
          </a:extLst>
        </xdr:cNvPr>
        <xdr:cNvSpPr>
          <a:spLocks noChangeArrowheads="1"/>
        </xdr:cNvSpPr>
      </xdr:nvSpPr>
      <xdr:spPr bwMode="auto">
        <a:xfrm>
          <a:off x="9715500" y="971550"/>
          <a:ext cx="457200" cy="200025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8</xdr:col>
      <xdr:colOff>123825</xdr:colOff>
      <xdr:row>3</xdr:row>
      <xdr:rowOff>123825</xdr:rowOff>
    </xdr:from>
    <xdr:to>
      <xdr:col>8</xdr:col>
      <xdr:colOff>342900</xdr:colOff>
      <xdr:row>4</xdr:row>
      <xdr:rowOff>152400</xdr:rowOff>
    </xdr:to>
    <xdr:grpSp>
      <xdr:nvGrpSpPr>
        <xdr:cNvPr id="2624" name="Group 34">
          <a:extLst>
            <a:ext uri="{FF2B5EF4-FFF2-40B4-BE49-F238E27FC236}">
              <a16:creationId xmlns:a16="http://schemas.microsoft.com/office/drawing/2014/main" id="{95B632D8-AD92-4883-82C2-1B4E2E90F51C}"/>
            </a:ext>
          </a:extLst>
        </xdr:cNvPr>
        <xdr:cNvGrpSpPr>
          <a:grpSpLocks/>
        </xdr:cNvGrpSpPr>
      </xdr:nvGrpSpPr>
      <xdr:grpSpPr bwMode="auto">
        <a:xfrm>
          <a:off x="5922645" y="634365"/>
          <a:ext cx="219075" cy="211455"/>
          <a:chOff x="304" y="241"/>
          <a:chExt cx="29" cy="29"/>
        </a:xfrm>
      </xdr:grpSpPr>
      <xdr:sp macro="" textlink="">
        <xdr:nvSpPr>
          <xdr:cNvPr id="2684" name="Oval 35">
            <a:extLst>
              <a:ext uri="{FF2B5EF4-FFF2-40B4-BE49-F238E27FC236}">
                <a16:creationId xmlns:a16="http://schemas.microsoft.com/office/drawing/2014/main" id="{E4A3DDD4-54D4-42F0-A211-AA963CB4F1DC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85" name="AutoShape 36">
            <a:extLst>
              <a:ext uri="{FF2B5EF4-FFF2-40B4-BE49-F238E27FC236}">
                <a16:creationId xmlns:a16="http://schemas.microsoft.com/office/drawing/2014/main" id="{669B01A5-7FB6-4D99-A2E9-EF5AE6537B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0</xdr:col>
      <xdr:colOff>85725</xdr:colOff>
      <xdr:row>3</xdr:row>
      <xdr:rowOff>95250</xdr:rowOff>
    </xdr:from>
    <xdr:to>
      <xdr:col>2</xdr:col>
      <xdr:colOff>438150</xdr:colOff>
      <xdr:row>4</xdr:row>
      <xdr:rowOff>161925</xdr:rowOff>
    </xdr:to>
    <xdr:sp macro="" textlink="">
      <xdr:nvSpPr>
        <xdr:cNvPr id="2085" name="Text Box 37">
          <a:extLst>
            <a:ext uri="{FF2B5EF4-FFF2-40B4-BE49-F238E27FC236}">
              <a16:creationId xmlns:a16="http://schemas.microsoft.com/office/drawing/2014/main" id="{A1D7DC55-F79B-4ED5-83F3-20C6FD35CDC3}"/>
            </a:ext>
          </a:extLst>
        </xdr:cNvPr>
        <xdr:cNvSpPr txBox="1">
          <a:spLocks noChangeArrowheads="1"/>
        </xdr:cNvSpPr>
      </xdr:nvSpPr>
      <xdr:spPr bwMode="auto">
        <a:xfrm>
          <a:off x="85725" y="619125"/>
          <a:ext cx="1562100" cy="266700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s-MX" sz="1400" b="1" i="0" u="none" strike="noStrike" baseline="0">
              <a:solidFill>
                <a:srgbClr val="000000"/>
              </a:solidFill>
              <a:latin typeface="Century Gothic" panose="020B0502020202020204" pitchFamily="34" charset="0"/>
              <a:cs typeface="Arial"/>
            </a:rPr>
            <a:t>Takt Time =</a:t>
          </a:r>
        </a:p>
      </xdr:txBody>
    </xdr:sp>
    <xdr:clientData/>
  </xdr:twoCellAnchor>
  <xdr:twoCellAnchor>
    <xdr:from>
      <xdr:col>22</xdr:col>
      <xdr:colOff>0</xdr:colOff>
      <xdr:row>6</xdr:row>
      <xdr:rowOff>0</xdr:rowOff>
    </xdr:from>
    <xdr:to>
      <xdr:col>31</xdr:col>
      <xdr:colOff>0</xdr:colOff>
      <xdr:row>8</xdr:row>
      <xdr:rowOff>171450</xdr:rowOff>
    </xdr:to>
    <xdr:sp macro="" textlink="">
      <xdr:nvSpPr>
        <xdr:cNvPr id="2086" name="Text Box 38">
          <a:extLst>
            <a:ext uri="{FF2B5EF4-FFF2-40B4-BE49-F238E27FC236}">
              <a16:creationId xmlns:a16="http://schemas.microsoft.com/office/drawing/2014/main" id="{7E3B69A0-8E95-4895-958C-D9ED7BA3AA5C}"/>
            </a:ext>
          </a:extLst>
        </xdr:cNvPr>
        <xdr:cNvSpPr txBox="1">
          <a:spLocks noChangeArrowheads="1"/>
        </xdr:cNvSpPr>
      </xdr:nvSpPr>
      <xdr:spPr bwMode="auto">
        <a:xfrm>
          <a:off x="18804871" y="1106581"/>
          <a:ext cx="6870607" cy="507626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s-MX" sz="1800" b="1" i="0" u="none" strike="noStrike" baseline="0">
              <a:solidFill>
                <a:srgbClr val="0000FF"/>
              </a:solidFill>
              <a:latin typeface="Century Gothic" panose="020B0502020202020204" pitchFamily="34" charset="0"/>
              <a:cs typeface="Arial"/>
            </a:rPr>
            <a:t>Título (Actual/Futuro)</a:t>
          </a:r>
        </a:p>
      </xdr:txBody>
    </xdr:sp>
    <xdr:clientData/>
  </xdr:twoCellAnchor>
  <xdr:twoCellAnchor>
    <xdr:from>
      <xdr:col>16</xdr:col>
      <xdr:colOff>114300</xdr:colOff>
      <xdr:row>7</xdr:row>
      <xdr:rowOff>76200</xdr:rowOff>
    </xdr:from>
    <xdr:to>
      <xdr:col>16</xdr:col>
      <xdr:colOff>447675</xdr:colOff>
      <xdr:row>8</xdr:row>
      <xdr:rowOff>133350</xdr:rowOff>
    </xdr:to>
    <xdr:grpSp>
      <xdr:nvGrpSpPr>
        <xdr:cNvPr id="2627" name="Group 39">
          <a:extLst>
            <a:ext uri="{FF2B5EF4-FFF2-40B4-BE49-F238E27FC236}">
              <a16:creationId xmlns:a16="http://schemas.microsoft.com/office/drawing/2014/main" id="{1CA66257-833F-470D-BD5D-25265966C1A3}"/>
            </a:ext>
          </a:extLst>
        </xdr:cNvPr>
        <xdr:cNvGrpSpPr>
          <a:grpSpLocks/>
        </xdr:cNvGrpSpPr>
      </xdr:nvGrpSpPr>
      <xdr:grpSpPr bwMode="auto">
        <a:xfrm>
          <a:off x="14173200" y="1249680"/>
          <a:ext cx="333375" cy="201930"/>
          <a:chOff x="320" y="533"/>
          <a:chExt cx="52" cy="52"/>
        </a:xfrm>
      </xdr:grpSpPr>
      <xdr:sp macro="" textlink="">
        <xdr:nvSpPr>
          <xdr:cNvPr id="2678" name="Rectangle 40">
            <a:extLst>
              <a:ext uri="{FF2B5EF4-FFF2-40B4-BE49-F238E27FC236}">
                <a16:creationId xmlns:a16="http://schemas.microsoft.com/office/drawing/2014/main" id="{50CC1C96-0BC3-4A9D-9340-A55B3437DF67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9" name="Rectangle 41">
            <a:extLst>
              <a:ext uri="{FF2B5EF4-FFF2-40B4-BE49-F238E27FC236}">
                <a16:creationId xmlns:a16="http://schemas.microsoft.com/office/drawing/2014/main" id="{5C9FC310-6747-4DFC-9852-DEC3E6A7B055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80" name="AutoShape 42">
            <a:extLst>
              <a:ext uri="{FF2B5EF4-FFF2-40B4-BE49-F238E27FC236}">
                <a16:creationId xmlns:a16="http://schemas.microsoft.com/office/drawing/2014/main" id="{63CA2023-7959-48A0-BAEB-FADEE1615012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81" name="AutoShape 43">
            <a:extLst>
              <a:ext uri="{FF2B5EF4-FFF2-40B4-BE49-F238E27FC236}">
                <a16:creationId xmlns:a16="http://schemas.microsoft.com/office/drawing/2014/main" id="{DC2FC46A-0F6D-4C06-9BF0-FF93684E17F4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82" name="AutoShape 44">
            <a:extLst>
              <a:ext uri="{FF2B5EF4-FFF2-40B4-BE49-F238E27FC236}">
                <a16:creationId xmlns:a16="http://schemas.microsoft.com/office/drawing/2014/main" id="{2D369390-5B8D-4C17-B026-BF03F5E41A34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83" name="AutoShape 45">
            <a:extLst>
              <a:ext uri="{FF2B5EF4-FFF2-40B4-BE49-F238E27FC236}">
                <a16:creationId xmlns:a16="http://schemas.microsoft.com/office/drawing/2014/main" id="{C0CD0440-DA96-414B-B3F3-BB03DEE0C957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s-VE"/>
          </a:p>
        </xdr:txBody>
      </xdr:sp>
    </xdr:grpSp>
    <xdr:clientData/>
  </xdr:twoCellAnchor>
  <xdr:twoCellAnchor>
    <xdr:from>
      <xdr:col>16</xdr:col>
      <xdr:colOff>66675</xdr:colOff>
      <xdr:row>5</xdr:row>
      <xdr:rowOff>66675</xdr:rowOff>
    </xdr:from>
    <xdr:to>
      <xdr:col>16</xdr:col>
      <xdr:colOff>447675</xdr:colOff>
      <xdr:row>6</xdr:row>
      <xdr:rowOff>123825</xdr:rowOff>
    </xdr:to>
    <xdr:grpSp>
      <xdr:nvGrpSpPr>
        <xdr:cNvPr id="2628" name="Group 46">
          <a:extLst>
            <a:ext uri="{FF2B5EF4-FFF2-40B4-BE49-F238E27FC236}">
              <a16:creationId xmlns:a16="http://schemas.microsoft.com/office/drawing/2014/main" id="{342168C0-88B3-4D3D-ACE2-3D6158A96A55}"/>
            </a:ext>
          </a:extLst>
        </xdr:cNvPr>
        <xdr:cNvGrpSpPr>
          <a:grpSpLocks/>
        </xdr:cNvGrpSpPr>
      </xdr:nvGrpSpPr>
      <xdr:grpSpPr bwMode="auto">
        <a:xfrm>
          <a:off x="14125575" y="942975"/>
          <a:ext cx="381000" cy="209550"/>
          <a:chOff x="216" y="418"/>
          <a:chExt cx="71" cy="51"/>
        </a:xfrm>
      </xdr:grpSpPr>
      <xdr:sp macro="" textlink="">
        <xdr:nvSpPr>
          <xdr:cNvPr id="2671" name="Rectangle 47">
            <a:extLst>
              <a:ext uri="{FF2B5EF4-FFF2-40B4-BE49-F238E27FC236}">
                <a16:creationId xmlns:a16="http://schemas.microsoft.com/office/drawing/2014/main" id="{69897B33-522E-4C4E-B933-FCCDAF564BC3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2" name="Rectangle 48">
            <a:extLst>
              <a:ext uri="{FF2B5EF4-FFF2-40B4-BE49-F238E27FC236}">
                <a16:creationId xmlns:a16="http://schemas.microsoft.com/office/drawing/2014/main" id="{E22E6832-97CA-4B27-8AAD-87000B14EDC8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3" name="AutoShape 49">
            <a:extLst>
              <a:ext uri="{FF2B5EF4-FFF2-40B4-BE49-F238E27FC236}">
                <a16:creationId xmlns:a16="http://schemas.microsoft.com/office/drawing/2014/main" id="{0CF092C4-0498-4291-B27A-0011207FD64F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4" name="AutoShape 50">
            <a:extLst>
              <a:ext uri="{FF2B5EF4-FFF2-40B4-BE49-F238E27FC236}">
                <a16:creationId xmlns:a16="http://schemas.microsoft.com/office/drawing/2014/main" id="{1D7E58B7-8A8D-436F-9CC6-77CE59C867BA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5" name="AutoShape 51">
            <a:extLst>
              <a:ext uri="{FF2B5EF4-FFF2-40B4-BE49-F238E27FC236}">
                <a16:creationId xmlns:a16="http://schemas.microsoft.com/office/drawing/2014/main" id="{B7503080-2545-4A3C-8255-20F36BFAF3E2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6" name="AutoShape 52">
            <a:extLst>
              <a:ext uri="{FF2B5EF4-FFF2-40B4-BE49-F238E27FC236}">
                <a16:creationId xmlns:a16="http://schemas.microsoft.com/office/drawing/2014/main" id="{DFF7B5EB-0AF2-455A-AE1B-629A82BE8FFF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7" name="AutoShape 53">
            <a:extLst>
              <a:ext uri="{FF2B5EF4-FFF2-40B4-BE49-F238E27FC236}">
                <a16:creationId xmlns:a16="http://schemas.microsoft.com/office/drawing/2014/main" id="{E043A0A8-F372-41E2-82B4-95B696EFB58B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200025</xdr:colOff>
      <xdr:row>7</xdr:row>
      <xdr:rowOff>76200</xdr:rowOff>
    </xdr:from>
    <xdr:to>
      <xdr:col>18</xdr:col>
      <xdr:colOff>419100</xdr:colOff>
      <xdr:row>9</xdr:row>
      <xdr:rowOff>0</xdr:rowOff>
    </xdr:to>
    <xdr:grpSp>
      <xdr:nvGrpSpPr>
        <xdr:cNvPr id="2629" name="Group 54">
          <a:extLst>
            <a:ext uri="{FF2B5EF4-FFF2-40B4-BE49-F238E27FC236}">
              <a16:creationId xmlns:a16="http://schemas.microsoft.com/office/drawing/2014/main" id="{82CE6ECF-D9DB-467A-8DB2-2120B14CAE41}"/>
            </a:ext>
          </a:extLst>
        </xdr:cNvPr>
        <xdr:cNvGrpSpPr>
          <a:grpSpLocks/>
        </xdr:cNvGrpSpPr>
      </xdr:nvGrpSpPr>
      <xdr:grpSpPr bwMode="auto">
        <a:xfrm>
          <a:off x="15813405" y="1249680"/>
          <a:ext cx="219075" cy="220980"/>
          <a:chOff x="1813" y="267"/>
          <a:chExt cx="106" cy="147"/>
        </a:xfrm>
      </xdr:grpSpPr>
      <xdr:sp macro="" textlink="">
        <xdr:nvSpPr>
          <xdr:cNvPr id="2666" name="Line 55">
            <a:extLst>
              <a:ext uri="{FF2B5EF4-FFF2-40B4-BE49-F238E27FC236}">
                <a16:creationId xmlns:a16="http://schemas.microsoft.com/office/drawing/2014/main" id="{5B3A6D2D-8D3B-4599-BE18-4EB17426FD2C}"/>
              </a:ext>
            </a:extLst>
          </xdr:cNvPr>
          <xdr:cNvSpPr>
            <a:spLocks noChangeShapeType="1"/>
          </xdr:cNvSpPr>
        </xdr:nvSpPr>
        <xdr:spPr bwMode="auto">
          <a:xfrm>
            <a:off x="1813" y="269"/>
            <a:ext cx="15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7" name="Line 56">
            <a:extLst>
              <a:ext uri="{FF2B5EF4-FFF2-40B4-BE49-F238E27FC236}">
                <a16:creationId xmlns:a16="http://schemas.microsoft.com/office/drawing/2014/main" id="{86A28390-BF4E-41A2-9833-A52BACECE1B5}"/>
              </a:ext>
            </a:extLst>
          </xdr:cNvPr>
          <xdr:cNvSpPr>
            <a:spLocks noChangeShapeType="1"/>
          </xdr:cNvSpPr>
        </xdr:nvSpPr>
        <xdr:spPr bwMode="auto">
          <a:xfrm>
            <a:off x="1829" y="332"/>
            <a:ext cx="75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8" name="Line 57">
            <a:extLst>
              <a:ext uri="{FF2B5EF4-FFF2-40B4-BE49-F238E27FC236}">
                <a16:creationId xmlns:a16="http://schemas.microsoft.com/office/drawing/2014/main" id="{020D39C8-BB4F-4043-BEA1-94438158BD0A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4" y="267"/>
            <a:ext cx="15" cy="67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9" name="Line 58">
            <a:extLst>
              <a:ext uri="{FF2B5EF4-FFF2-40B4-BE49-F238E27FC236}">
                <a16:creationId xmlns:a16="http://schemas.microsoft.com/office/drawing/2014/main" id="{B35FEE9E-4FF3-4550-810F-5B881F008E79}"/>
              </a:ext>
            </a:extLst>
          </xdr:cNvPr>
          <xdr:cNvSpPr>
            <a:spLocks noChangeShapeType="1"/>
          </xdr:cNvSpPr>
        </xdr:nvSpPr>
        <xdr:spPr bwMode="auto">
          <a:xfrm>
            <a:off x="1867" y="332"/>
            <a:ext cx="0" cy="82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70" name="Line 59">
            <a:extLst>
              <a:ext uri="{FF2B5EF4-FFF2-40B4-BE49-F238E27FC236}">
                <a16:creationId xmlns:a16="http://schemas.microsoft.com/office/drawing/2014/main" id="{BF10E70F-7E7E-4A47-A114-F93EA07BF86E}"/>
              </a:ext>
            </a:extLst>
          </xdr:cNvPr>
          <xdr:cNvSpPr>
            <a:spLocks noChangeShapeType="1"/>
          </xdr:cNvSpPr>
        </xdr:nvSpPr>
        <xdr:spPr bwMode="auto">
          <a:xfrm>
            <a:off x="1844" y="414"/>
            <a:ext cx="5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142875</xdr:colOff>
      <xdr:row>5</xdr:row>
      <xdr:rowOff>66675</xdr:rowOff>
    </xdr:from>
    <xdr:to>
      <xdr:col>18</xdr:col>
      <xdr:colOff>504825</xdr:colOff>
      <xdr:row>6</xdr:row>
      <xdr:rowOff>123825</xdr:rowOff>
    </xdr:to>
    <xdr:grpSp>
      <xdr:nvGrpSpPr>
        <xdr:cNvPr id="2630" name="Group 60">
          <a:extLst>
            <a:ext uri="{FF2B5EF4-FFF2-40B4-BE49-F238E27FC236}">
              <a16:creationId xmlns:a16="http://schemas.microsoft.com/office/drawing/2014/main" id="{7E61B100-1AF8-4BB9-96F7-E43608C97C70}"/>
            </a:ext>
          </a:extLst>
        </xdr:cNvPr>
        <xdr:cNvGrpSpPr>
          <a:grpSpLocks/>
        </xdr:cNvGrpSpPr>
      </xdr:nvGrpSpPr>
      <xdr:grpSpPr bwMode="auto">
        <a:xfrm>
          <a:off x="15756255" y="942975"/>
          <a:ext cx="361950" cy="209550"/>
          <a:chOff x="1860" y="222"/>
          <a:chExt cx="159" cy="139"/>
        </a:xfrm>
      </xdr:grpSpPr>
      <xdr:sp macro="" textlink="">
        <xdr:nvSpPr>
          <xdr:cNvPr id="2662" name="AutoShape 61">
            <a:extLst>
              <a:ext uri="{FF2B5EF4-FFF2-40B4-BE49-F238E27FC236}">
                <a16:creationId xmlns:a16="http://schemas.microsoft.com/office/drawing/2014/main" id="{C1BE0FA5-FE20-4DE3-9AC6-1FF5609D0881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3" name="Line 62">
            <a:extLst>
              <a:ext uri="{FF2B5EF4-FFF2-40B4-BE49-F238E27FC236}">
                <a16:creationId xmlns:a16="http://schemas.microsoft.com/office/drawing/2014/main" id="{20E7ECD2-9BF1-4A62-B1F0-D2C18B9D5B4F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4" name="Line 63">
            <a:extLst>
              <a:ext uri="{FF2B5EF4-FFF2-40B4-BE49-F238E27FC236}">
                <a16:creationId xmlns:a16="http://schemas.microsoft.com/office/drawing/2014/main" id="{7FB5257C-5F63-49AD-8023-4FD9301DDC8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5" name="Line 64">
            <a:extLst>
              <a:ext uri="{FF2B5EF4-FFF2-40B4-BE49-F238E27FC236}">
                <a16:creationId xmlns:a16="http://schemas.microsoft.com/office/drawing/2014/main" id="{35AB095F-F436-4F23-BFC6-C4E1FBF5EDB0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161925</xdr:colOff>
      <xdr:row>9</xdr:row>
      <xdr:rowOff>66675</xdr:rowOff>
    </xdr:from>
    <xdr:to>
      <xdr:col>18</xdr:col>
      <xdr:colOff>447675</xdr:colOff>
      <xdr:row>10</xdr:row>
      <xdr:rowOff>152400</xdr:rowOff>
    </xdr:to>
    <xdr:sp macro="" textlink="">
      <xdr:nvSpPr>
        <xdr:cNvPr id="2631" name="AutoShape 65">
          <a:extLst>
            <a:ext uri="{FF2B5EF4-FFF2-40B4-BE49-F238E27FC236}">
              <a16:creationId xmlns:a16="http://schemas.microsoft.com/office/drawing/2014/main" id="{D9B215C6-BE08-4B8A-93FB-87514661D012}"/>
            </a:ext>
          </a:extLst>
        </xdr:cNvPr>
        <xdr:cNvSpPr>
          <a:spLocks noChangeArrowheads="1"/>
        </xdr:cNvSpPr>
      </xdr:nvSpPr>
      <xdr:spPr bwMode="auto">
        <a:xfrm>
          <a:off x="15097125" y="1581150"/>
          <a:ext cx="285750" cy="238125"/>
        </a:xfrm>
        <a:custGeom>
          <a:avLst/>
          <a:gdLst>
            <a:gd name="T0" fmla="*/ 25004673 w 21600"/>
            <a:gd name="T1" fmla="*/ 0 h 21600"/>
            <a:gd name="T2" fmla="*/ 7323151 w 21600"/>
            <a:gd name="T3" fmla="*/ 4237941 h 21600"/>
            <a:gd name="T4" fmla="*/ 0 w 21600"/>
            <a:gd name="T5" fmla="*/ 14470360 h 21600"/>
            <a:gd name="T6" fmla="*/ 7323151 w 21600"/>
            <a:gd name="T7" fmla="*/ 24702658 h 21600"/>
            <a:gd name="T8" fmla="*/ 25004673 w 21600"/>
            <a:gd name="T9" fmla="*/ 28940599 h 21600"/>
            <a:gd name="T10" fmla="*/ 42686195 w 21600"/>
            <a:gd name="T11" fmla="*/ 24702658 h 21600"/>
            <a:gd name="T12" fmla="*/ 50009346 w 21600"/>
            <a:gd name="T13" fmla="*/ 14470360 h 21600"/>
            <a:gd name="T14" fmla="*/ 42686195 w 21600"/>
            <a:gd name="T15" fmla="*/ 4237941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7855" y="10800"/>
              </a:moveTo>
              <a:cubicBezTo>
                <a:pt x="7855" y="12426"/>
                <a:pt x="9174" y="13745"/>
                <a:pt x="10800" y="13745"/>
              </a:cubicBezTo>
              <a:cubicBezTo>
                <a:pt x="12426" y="13745"/>
                <a:pt x="13745" y="12426"/>
                <a:pt x="13745" y="10800"/>
              </a:cubicBezTo>
              <a:cubicBezTo>
                <a:pt x="13745" y="9174"/>
                <a:pt x="12426" y="7855"/>
                <a:pt x="10800" y="7855"/>
              </a:cubicBezTo>
              <a:cubicBezTo>
                <a:pt x="9174" y="7855"/>
                <a:pt x="7855" y="9174"/>
                <a:pt x="7855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76200</xdr:colOff>
      <xdr:row>9</xdr:row>
      <xdr:rowOff>47625</xdr:rowOff>
    </xdr:from>
    <xdr:to>
      <xdr:col>16</xdr:col>
      <xdr:colOff>485775</xdr:colOff>
      <xdr:row>10</xdr:row>
      <xdr:rowOff>161925</xdr:rowOff>
    </xdr:to>
    <xdr:grpSp>
      <xdr:nvGrpSpPr>
        <xdr:cNvPr id="2632" name="Group 66">
          <a:extLst>
            <a:ext uri="{FF2B5EF4-FFF2-40B4-BE49-F238E27FC236}">
              <a16:creationId xmlns:a16="http://schemas.microsoft.com/office/drawing/2014/main" id="{8D5EF4B7-0226-46E1-857F-7CA44ABB4764}"/>
            </a:ext>
          </a:extLst>
        </xdr:cNvPr>
        <xdr:cNvGrpSpPr>
          <a:grpSpLocks/>
        </xdr:cNvGrpSpPr>
      </xdr:nvGrpSpPr>
      <xdr:grpSpPr bwMode="auto">
        <a:xfrm>
          <a:off x="14135100" y="1518285"/>
          <a:ext cx="409575" cy="251460"/>
          <a:chOff x="1435" y="1677"/>
          <a:chExt cx="43" cy="32"/>
        </a:xfrm>
      </xdr:grpSpPr>
      <xdr:sp macro="" textlink="">
        <xdr:nvSpPr>
          <xdr:cNvPr id="2655" name="AutoShape 67">
            <a:extLst>
              <a:ext uri="{FF2B5EF4-FFF2-40B4-BE49-F238E27FC236}">
                <a16:creationId xmlns:a16="http://schemas.microsoft.com/office/drawing/2014/main" id="{09EA4D23-BDD1-46CB-83A0-D0AD3D584B36}"/>
              </a:ext>
            </a:extLst>
          </xdr:cNvPr>
          <xdr:cNvSpPr>
            <a:spLocks noChangeArrowheads="1"/>
          </xdr:cNvSpPr>
        </xdr:nvSpPr>
        <xdr:spPr bwMode="auto">
          <a:xfrm>
            <a:off x="1446" y="1689"/>
            <a:ext cx="7" cy="13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9969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390" y="7921"/>
                </a:moveTo>
                <a:cubicBezTo>
                  <a:pt x="1685" y="3240"/>
                  <a:pt x="5944" y="0"/>
                  <a:pt x="10800" y="0"/>
                </a:cubicBezTo>
                <a:cubicBezTo>
                  <a:pt x="15655" y="0"/>
                  <a:pt x="19914" y="3240"/>
                  <a:pt x="21209" y="7921"/>
                </a:cubicBezTo>
                <a:cubicBezTo>
                  <a:pt x="19914" y="3240"/>
                  <a:pt x="15655" y="0"/>
                  <a:pt x="10799" y="0"/>
                </a:cubicBezTo>
                <a:cubicBezTo>
                  <a:pt x="5944" y="0"/>
                  <a:pt x="1685" y="3240"/>
                  <a:pt x="390" y="7921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56" name="Oval 68">
            <a:extLst>
              <a:ext uri="{FF2B5EF4-FFF2-40B4-BE49-F238E27FC236}">
                <a16:creationId xmlns:a16="http://schemas.microsoft.com/office/drawing/2014/main" id="{637FAE53-9D6B-4046-8861-092174033C87}"/>
              </a:ext>
            </a:extLst>
          </xdr:cNvPr>
          <xdr:cNvSpPr>
            <a:spLocks noChangeArrowheads="1"/>
          </xdr:cNvSpPr>
        </xdr:nvSpPr>
        <xdr:spPr bwMode="auto">
          <a:xfrm>
            <a:off x="1435" y="1692"/>
            <a:ext cx="12" cy="1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0C0C0" mc:Ignorable="a14" a14:legacySpreadsheetColorIndex="22">
              <a:alpha val="50195"/>
            </a:srgbClr>
          </a:solidFill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57" name="Line 69">
            <a:extLst>
              <a:ext uri="{FF2B5EF4-FFF2-40B4-BE49-F238E27FC236}">
                <a16:creationId xmlns:a16="http://schemas.microsoft.com/office/drawing/2014/main" id="{FE091FC4-AAC1-43F0-83A3-3921CAB666FD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5" y="1680"/>
            <a:ext cx="10" cy="18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58" name="AutoShape 70">
            <a:extLst>
              <a:ext uri="{FF2B5EF4-FFF2-40B4-BE49-F238E27FC236}">
                <a16:creationId xmlns:a16="http://schemas.microsoft.com/office/drawing/2014/main" id="{5CAEA4CA-C796-4416-84A1-52F25E3F46E9}"/>
              </a:ext>
            </a:extLst>
          </xdr:cNvPr>
          <xdr:cNvSpPr>
            <a:spLocks noChangeArrowheads="1"/>
          </xdr:cNvSpPr>
        </xdr:nvSpPr>
        <xdr:spPr bwMode="auto">
          <a:xfrm>
            <a:off x="1444" y="1677"/>
            <a:ext cx="7" cy="13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9969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390" y="7921"/>
                </a:moveTo>
                <a:cubicBezTo>
                  <a:pt x="1685" y="3240"/>
                  <a:pt x="5944" y="0"/>
                  <a:pt x="10800" y="0"/>
                </a:cubicBezTo>
                <a:cubicBezTo>
                  <a:pt x="15655" y="0"/>
                  <a:pt x="19914" y="3240"/>
                  <a:pt x="21209" y="7921"/>
                </a:cubicBezTo>
                <a:cubicBezTo>
                  <a:pt x="19914" y="3240"/>
                  <a:pt x="15655" y="0"/>
                  <a:pt x="10799" y="0"/>
                </a:cubicBezTo>
                <a:cubicBezTo>
                  <a:pt x="5944" y="0"/>
                  <a:pt x="1685" y="3240"/>
                  <a:pt x="390" y="7921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59" name="Oval 71">
            <a:extLst>
              <a:ext uri="{FF2B5EF4-FFF2-40B4-BE49-F238E27FC236}">
                <a16:creationId xmlns:a16="http://schemas.microsoft.com/office/drawing/2014/main" id="{42A2459E-0979-4AA1-AF12-3C217553A525}"/>
              </a:ext>
            </a:extLst>
          </xdr:cNvPr>
          <xdr:cNvSpPr>
            <a:spLocks noChangeArrowheads="1"/>
          </xdr:cNvSpPr>
        </xdr:nvSpPr>
        <xdr:spPr bwMode="auto">
          <a:xfrm>
            <a:off x="1451" y="1692"/>
            <a:ext cx="12" cy="1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C0C0C0" mc:Ignorable="a14" a14:legacySpreadsheetColorIndex="22">
              <a:alpha val="50195"/>
            </a:srgbClr>
          </a:solidFill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0" name="Line 72">
            <a:extLst>
              <a:ext uri="{FF2B5EF4-FFF2-40B4-BE49-F238E27FC236}">
                <a16:creationId xmlns:a16="http://schemas.microsoft.com/office/drawing/2014/main" id="{0E31F218-6073-4CAE-9311-5DF15F5998EE}"/>
              </a:ext>
            </a:extLst>
          </xdr:cNvPr>
          <xdr:cNvSpPr>
            <a:spLocks noChangeShapeType="1"/>
          </xdr:cNvSpPr>
        </xdr:nvSpPr>
        <xdr:spPr bwMode="auto">
          <a:xfrm flipV="1">
            <a:off x="1462" y="1680"/>
            <a:ext cx="10" cy="18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61" name="AutoShape 73">
            <a:extLst>
              <a:ext uri="{FF2B5EF4-FFF2-40B4-BE49-F238E27FC236}">
                <a16:creationId xmlns:a16="http://schemas.microsoft.com/office/drawing/2014/main" id="{3867A889-B5EB-4BEE-910C-4E99CE6C8BD4}"/>
              </a:ext>
            </a:extLst>
          </xdr:cNvPr>
          <xdr:cNvSpPr>
            <a:spLocks noChangeArrowheads="1"/>
          </xdr:cNvSpPr>
        </xdr:nvSpPr>
        <xdr:spPr bwMode="auto">
          <a:xfrm>
            <a:off x="1471" y="1677"/>
            <a:ext cx="7" cy="13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9969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390" y="7921"/>
                </a:moveTo>
                <a:cubicBezTo>
                  <a:pt x="1685" y="3240"/>
                  <a:pt x="5944" y="0"/>
                  <a:pt x="10800" y="0"/>
                </a:cubicBezTo>
                <a:cubicBezTo>
                  <a:pt x="15655" y="0"/>
                  <a:pt x="19914" y="3240"/>
                  <a:pt x="21209" y="7921"/>
                </a:cubicBezTo>
                <a:cubicBezTo>
                  <a:pt x="19914" y="3240"/>
                  <a:pt x="15655" y="0"/>
                  <a:pt x="10799" y="0"/>
                </a:cubicBezTo>
                <a:cubicBezTo>
                  <a:pt x="5944" y="0"/>
                  <a:pt x="1685" y="3240"/>
                  <a:pt x="390" y="7921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 editAs="oneCell">
    <xdr:from>
      <xdr:col>10</xdr:col>
      <xdr:colOff>161925</xdr:colOff>
      <xdr:row>3</xdr:row>
      <xdr:rowOff>47625</xdr:rowOff>
    </xdr:from>
    <xdr:to>
      <xdr:col>10</xdr:col>
      <xdr:colOff>457200</xdr:colOff>
      <xdr:row>4</xdr:row>
      <xdr:rowOff>133350</xdr:rowOff>
    </xdr:to>
    <xdr:pic>
      <xdr:nvPicPr>
        <xdr:cNvPr id="2633" name="Picture 74">
          <a:extLst>
            <a:ext uri="{FF2B5EF4-FFF2-40B4-BE49-F238E27FC236}">
              <a16:creationId xmlns:a16="http://schemas.microsoft.com/office/drawing/2014/main" id="{3F5E795F-2271-47FD-BFCD-9161A2E58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5" y="542925"/>
          <a:ext cx="2952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142875</xdr:colOff>
      <xdr:row>3</xdr:row>
      <xdr:rowOff>76200</xdr:rowOff>
    </xdr:from>
    <xdr:to>
      <xdr:col>12</xdr:col>
      <xdr:colOff>447675</xdr:colOff>
      <xdr:row>4</xdr:row>
      <xdr:rowOff>180975</xdr:rowOff>
    </xdr:to>
    <xdr:pic>
      <xdr:nvPicPr>
        <xdr:cNvPr id="2634" name="Picture 75">
          <a:extLst>
            <a:ext uri="{FF2B5EF4-FFF2-40B4-BE49-F238E27FC236}">
              <a16:creationId xmlns:a16="http://schemas.microsoft.com/office/drawing/2014/main" id="{CDC2A77B-834B-4828-9348-33D97499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3600" y="571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76200</xdr:colOff>
      <xdr:row>3</xdr:row>
      <xdr:rowOff>28575</xdr:rowOff>
    </xdr:from>
    <xdr:to>
      <xdr:col>14</xdr:col>
      <xdr:colOff>542925</xdr:colOff>
      <xdr:row>5</xdr:row>
      <xdr:rowOff>0</xdr:rowOff>
    </xdr:to>
    <xdr:pic>
      <xdr:nvPicPr>
        <xdr:cNvPr id="2635" name="Picture 76">
          <a:extLst>
            <a:ext uri="{FF2B5EF4-FFF2-40B4-BE49-F238E27FC236}">
              <a16:creationId xmlns:a16="http://schemas.microsoft.com/office/drawing/2014/main" id="{FA102746-0275-4101-8B0A-082E87B2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3875"/>
          <a:ext cx="4667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114300</xdr:colOff>
      <xdr:row>3</xdr:row>
      <xdr:rowOff>66675</xdr:rowOff>
    </xdr:from>
    <xdr:to>
      <xdr:col>18</xdr:col>
      <xdr:colOff>457200</xdr:colOff>
      <xdr:row>4</xdr:row>
      <xdr:rowOff>142875</xdr:rowOff>
    </xdr:to>
    <xdr:pic>
      <xdr:nvPicPr>
        <xdr:cNvPr id="2636" name="Picture 77">
          <a:extLst>
            <a:ext uri="{FF2B5EF4-FFF2-40B4-BE49-F238E27FC236}">
              <a16:creationId xmlns:a16="http://schemas.microsoft.com/office/drawing/2014/main" id="{606EDF7A-5452-416B-A4EA-ADF8E6541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49500" y="561975"/>
          <a:ext cx="34290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104775</xdr:colOff>
      <xdr:row>3</xdr:row>
      <xdr:rowOff>9525</xdr:rowOff>
    </xdr:from>
    <xdr:to>
      <xdr:col>16</xdr:col>
      <xdr:colOff>523875</xdr:colOff>
      <xdr:row>4</xdr:row>
      <xdr:rowOff>152400</xdr:rowOff>
    </xdr:to>
    <xdr:pic>
      <xdr:nvPicPr>
        <xdr:cNvPr id="2637" name="Picture 78">
          <a:extLst>
            <a:ext uri="{FF2B5EF4-FFF2-40B4-BE49-F238E27FC236}">
              <a16:creationId xmlns:a16="http://schemas.microsoft.com/office/drawing/2014/main" id="{003A4BF5-1A37-413E-9474-71578415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504825"/>
          <a:ext cx="4191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0</xdr:colOff>
      <xdr:row>7</xdr:row>
      <xdr:rowOff>47625</xdr:rowOff>
    </xdr:from>
    <xdr:to>
      <xdr:col>20</xdr:col>
      <xdr:colOff>0</xdr:colOff>
      <xdr:row>10</xdr:row>
      <xdr:rowOff>114300</xdr:rowOff>
    </xdr:to>
    <xdr:sp macro="" textlink="">
      <xdr:nvSpPr>
        <xdr:cNvPr id="2127" name="AutoShape 79">
          <a:extLst>
            <a:ext uri="{FF2B5EF4-FFF2-40B4-BE49-F238E27FC236}">
              <a16:creationId xmlns:a16="http://schemas.microsoft.com/office/drawing/2014/main" id="{88C99934-C34F-4035-BC95-AE542400CD6C}"/>
            </a:ext>
          </a:extLst>
        </xdr:cNvPr>
        <xdr:cNvSpPr>
          <a:spLocks noChangeArrowheads="1"/>
        </xdr:cNvSpPr>
      </xdr:nvSpPr>
      <xdr:spPr bwMode="auto">
        <a:xfrm>
          <a:off x="16783050" y="1247775"/>
          <a:ext cx="0" cy="533400"/>
        </a:xfrm>
        <a:prstGeom prst="wedgeRoundRectCallout">
          <a:avLst>
            <a:gd name="adj1" fmla="val -37449"/>
            <a:gd name="adj2" fmla="val -148037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MX" sz="1100" b="1" i="0" u="none" strike="noStrike" baseline="0">
              <a:solidFill>
                <a:srgbClr val="000000"/>
              </a:solidFill>
              <a:latin typeface="Arial"/>
              <a:cs typeface="Arial"/>
            </a:rPr>
            <a:t>Define effective Work hour/day x working day &amp; calculate Takt time. Record all your assumption</a:t>
          </a:r>
        </a:p>
      </xdr:txBody>
    </xdr:sp>
    <xdr:clientData/>
  </xdr:twoCellAnchor>
  <xdr:twoCellAnchor>
    <xdr:from>
      <xdr:col>14</xdr:col>
      <xdr:colOff>38100</xdr:colOff>
      <xdr:row>5</xdr:row>
      <xdr:rowOff>19050</xdr:rowOff>
    </xdr:from>
    <xdr:to>
      <xdr:col>14</xdr:col>
      <xdr:colOff>533400</xdr:colOff>
      <xdr:row>6</xdr:row>
      <xdr:rowOff>142875</xdr:rowOff>
    </xdr:to>
    <xdr:pic>
      <xdr:nvPicPr>
        <xdr:cNvPr id="2639" name="Picture 88">
          <a:extLst>
            <a:ext uri="{FF2B5EF4-FFF2-40B4-BE49-F238E27FC236}">
              <a16:creationId xmlns:a16="http://schemas.microsoft.com/office/drawing/2014/main" id="{DAD9D4E1-07D3-4B0C-9D44-5F0DB8C52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904875"/>
          <a:ext cx="49530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38100</xdr:colOff>
      <xdr:row>7</xdr:row>
      <xdr:rowOff>19050</xdr:rowOff>
    </xdr:from>
    <xdr:to>
      <xdr:col>14</xdr:col>
      <xdr:colOff>552450</xdr:colOff>
      <xdr:row>9</xdr:row>
      <xdr:rowOff>0</xdr:rowOff>
    </xdr:to>
    <xdr:pic>
      <xdr:nvPicPr>
        <xdr:cNvPr id="2640" name="Picture 89">
          <a:extLst>
            <a:ext uri="{FF2B5EF4-FFF2-40B4-BE49-F238E27FC236}">
              <a16:creationId xmlns:a16="http://schemas.microsoft.com/office/drawing/2014/main" id="{D4319D30-DC9D-4707-90D2-EC8EDC091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6700" y="1219200"/>
          <a:ext cx="5143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47625</xdr:colOff>
      <xdr:row>7</xdr:row>
      <xdr:rowOff>0</xdr:rowOff>
    </xdr:from>
    <xdr:to>
      <xdr:col>10</xdr:col>
      <xdr:colOff>581025</xdr:colOff>
      <xdr:row>8</xdr:row>
      <xdr:rowOff>152400</xdr:rowOff>
    </xdr:to>
    <xdr:pic>
      <xdr:nvPicPr>
        <xdr:cNvPr id="2641" name="Picture 90">
          <a:extLst>
            <a:ext uri="{FF2B5EF4-FFF2-40B4-BE49-F238E27FC236}">
              <a16:creationId xmlns:a16="http://schemas.microsoft.com/office/drawing/2014/main" id="{5AB064A8-CBBF-404D-8891-94E63911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4275" y="1200150"/>
          <a:ext cx="5334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70037</xdr:colOff>
      <xdr:row>3</xdr:row>
      <xdr:rowOff>38100</xdr:rowOff>
    </xdr:from>
    <xdr:to>
      <xdr:col>20</xdr:col>
      <xdr:colOff>670112</xdr:colOff>
      <xdr:row>4</xdr:row>
      <xdr:rowOff>171450</xdr:rowOff>
    </xdr:to>
    <xdr:pic>
      <xdr:nvPicPr>
        <xdr:cNvPr id="2642" name="Picture 92">
          <a:extLst>
            <a:ext uri="{FF2B5EF4-FFF2-40B4-BE49-F238E27FC236}">
              <a16:creationId xmlns:a16="http://schemas.microsoft.com/office/drawing/2014/main" id="{DCBA4F3E-DC05-4C8A-B38F-656592C31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3879" y="556372"/>
          <a:ext cx="600075" cy="3364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180975</xdr:colOff>
      <xdr:row>5</xdr:row>
      <xdr:rowOff>0</xdr:rowOff>
    </xdr:from>
    <xdr:to>
      <xdr:col>20</xdr:col>
      <xdr:colOff>447675</xdr:colOff>
      <xdr:row>7</xdr:row>
      <xdr:rowOff>0</xdr:rowOff>
    </xdr:to>
    <xdr:pic>
      <xdr:nvPicPr>
        <xdr:cNvPr id="2643" name="Picture 93">
          <a:extLst>
            <a:ext uri="{FF2B5EF4-FFF2-40B4-BE49-F238E27FC236}">
              <a16:creationId xmlns:a16="http://schemas.microsoft.com/office/drawing/2014/main" id="{C89045E0-6FEE-42A0-BD9A-9B1FACA33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64025" y="885825"/>
          <a:ext cx="2667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238125</xdr:colOff>
      <xdr:row>7</xdr:row>
      <xdr:rowOff>19050</xdr:rowOff>
    </xdr:from>
    <xdr:to>
      <xdr:col>20</xdr:col>
      <xdr:colOff>390525</xdr:colOff>
      <xdr:row>8</xdr:row>
      <xdr:rowOff>133350</xdr:rowOff>
    </xdr:to>
    <xdr:pic>
      <xdr:nvPicPr>
        <xdr:cNvPr id="2644" name="Picture 94">
          <a:extLst>
            <a:ext uri="{FF2B5EF4-FFF2-40B4-BE49-F238E27FC236}">
              <a16:creationId xmlns:a16="http://schemas.microsoft.com/office/drawing/2014/main" id="{125C4800-CD92-42DD-93B9-44AA4438D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1175" y="1219200"/>
          <a:ext cx="1524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156322</xdr:colOff>
      <xdr:row>9</xdr:row>
      <xdr:rowOff>7564</xdr:rowOff>
    </xdr:from>
    <xdr:to>
      <xdr:col>20</xdr:col>
      <xdr:colOff>518272</xdr:colOff>
      <xdr:row>10</xdr:row>
      <xdr:rowOff>161085</xdr:rowOff>
    </xdr:to>
    <xdr:pic>
      <xdr:nvPicPr>
        <xdr:cNvPr id="2645" name="Picture 95">
          <a:extLst>
            <a:ext uri="{FF2B5EF4-FFF2-40B4-BE49-F238E27FC236}">
              <a16:creationId xmlns:a16="http://schemas.microsoft.com/office/drawing/2014/main" id="{A5B4E3B7-687A-4C18-A0CF-7202A158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00164" y="1632417"/>
          <a:ext cx="361950" cy="3216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428625</xdr:colOff>
      <xdr:row>14</xdr:row>
      <xdr:rowOff>9525</xdr:rowOff>
    </xdr:from>
    <xdr:to>
      <xdr:col>5</xdr:col>
      <xdr:colOff>95250</xdr:colOff>
      <xdr:row>16</xdr:row>
      <xdr:rowOff>28575</xdr:rowOff>
    </xdr:to>
    <xdr:grpSp>
      <xdr:nvGrpSpPr>
        <xdr:cNvPr id="2646" name="Group 96">
          <a:extLst>
            <a:ext uri="{FF2B5EF4-FFF2-40B4-BE49-F238E27FC236}">
              <a16:creationId xmlns:a16="http://schemas.microsoft.com/office/drawing/2014/main" id="{BCB5BE68-F376-4D61-8A57-F5A0B0592E7E}"/>
            </a:ext>
          </a:extLst>
        </xdr:cNvPr>
        <xdr:cNvGrpSpPr>
          <a:grpSpLocks/>
        </xdr:cNvGrpSpPr>
      </xdr:nvGrpSpPr>
      <xdr:grpSpPr bwMode="auto">
        <a:xfrm>
          <a:off x="428625" y="2295525"/>
          <a:ext cx="2981325" cy="461010"/>
          <a:chOff x="79" y="968"/>
          <a:chExt cx="303" cy="36"/>
        </a:xfrm>
      </xdr:grpSpPr>
      <xdr:sp macro="" textlink="">
        <xdr:nvSpPr>
          <xdr:cNvPr id="2650" name="Line 97">
            <a:extLst>
              <a:ext uri="{FF2B5EF4-FFF2-40B4-BE49-F238E27FC236}">
                <a16:creationId xmlns:a16="http://schemas.microsoft.com/office/drawing/2014/main" id="{F7CF59B2-B16F-47B7-A961-8E7E8C8E7A76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1" name="Line 98">
            <a:extLst>
              <a:ext uri="{FF2B5EF4-FFF2-40B4-BE49-F238E27FC236}">
                <a16:creationId xmlns:a16="http://schemas.microsoft.com/office/drawing/2014/main" id="{07448FEA-21DF-41D7-9554-0F27D105937B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2" name="Line 99">
            <a:extLst>
              <a:ext uri="{FF2B5EF4-FFF2-40B4-BE49-F238E27FC236}">
                <a16:creationId xmlns:a16="http://schemas.microsoft.com/office/drawing/2014/main" id="{A3069754-5E21-497C-BB67-8CB1A7625DAE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3" name="Line 100">
            <a:extLst>
              <a:ext uri="{FF2B5EF4-FFF2-40B4-BE49-F238E27FC236}">
                <a16:creationId xmlns:a16="http://schemas.microsoft.com/office/drawing/2014/main" id="{FB20177C-F60F-446A-ADA6-0D57192D318F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4" name="Line 101">
            <a:extLst>
              <a:ext uri="{FF2B5EF4-FFF2-40B4-BE49-F238E27FC236}">
                <a16:creationId xmlns:a16="http://schemas.microsoft.com/office/drawing/2014/main" id="{A859AFE6-88AF-4945-B435-00DB89260845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47625</xdr:colOff>
      <xdr:row>15</xdr:row>
      <xdr:rowOff>38100</xdr:rowOff>
    </xdr:from>
    <xdr:to>
      <xdr:col>6</xdr:col>
      <xdr:colOff>266700</xdr:colOff>
      <xdr:row>15</xdr:row>
      <xdr:rowOff>257175</xdr:rowOff>
    </xdr:to>
    <xdr:grpSp>
      <xdr:nvGrpSpPr>
        <xdr:cNvPr id="2647" name="Group 102">
          <a:extLst>
            <a:ext uri="{FF2B5EF4-FFF2-40B4-BE49-F238E27FC236}">
              <a16:creationId xmlns:a16="http://schemas.microsoft.com/office/drawing/2014/main" id="{F3C95168-6F54-4729-9E30-84368BB90F4B}"/>
            </a:ext>
          </a:extLst>
        </xdr:cNvPr>
        <xdr:cNvGrpSpPr>
          <a:grpSpLocks/>
        </xdr:cNvGrpSpPr>
      </xdr:nvGrpSpPr>
      <xdr:grpSpPr bwMode="auto">
        <a:xfrm>
          <a:off x="4147185" y="2545080"/>
          <a:ext cx="219075" cy="180975"/>
          <a:chOff x="304" y="241"/>
          <a:chExt cx="29" cy="29"/>
        </a:xfrm>
      </xdr:grpSpPr>
      <xdr:sp macro="" textlink="">
        <xdr:nvSpPr>
          <xdr:cNvPr id="2648" name="Oval 103">
            <a:extLst>
              <a:ext uri="{FF2B5EF4-FFF2-40B4-BE49-F238E27FC236}">
                <a16:creationId xmlns:a16="http://schemas.microsoft.com/office/drawing/2014/main" id="{49C76036-B048-4A63-A12F-D7F74DA7EA80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649" name="AutoShape 104">
            <a:extLst>
              <a:ext uri="{FF2B5EF4-FFF2-40B4-BE49-F238E27FC236}">
                <a16:creationId xmlns:a16="http://schemas.microsoft.com/office/drawing/2014/main" id="{E4576D23-17B5-442C-8BC8-246FDA64E0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83820</xdr:rowOff>
    </xdr:from>
    <xdr:to>
      <xdr:col>2</xdr:col>
      <xdr:colOff>495300</xdr:colOff>
      <xdr:row>4</xdr:row>
      <xdr:rowOff>358140</xdr:rowOff>
    </xdr:to>
    <xdr:sp macro="" textlink="">
      <xdr:nvSpPr>
        <xdr:cNvPr id="2" name="Diagrama de flujo: conector 1">
          <a:extLst>
            <a:ext uri="{FF2B5EF4-FFF2-40B4-BE49-F238E27FC236}">
              <a16:creationId xmlns:a16="http://schemas.microsoft.com/office/drawing/2014/main" id="{C90D5A5D-8444-D3B8-471B-53BF54CBB864}"/>
            </a:ext>
          </a:extLst>
        </xdr:cNvPr>
        <xdr:cNvSpPr/>
      </xdr:nvSpPr>
      <xdr:spPr>
        <a:xfrm>
          <a:off x="1021080" y="746760"/>
          <a:ext cx="266700" cy="27432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3</xdr:col>
      <xdr:colOff>121920</xdr:colOff>
      <xdr:row>4</xdr:row>
      <xdr:rowOff>99060</xdr:rowOff>
    </xdr:from>
    <xdr:to>
      <xdr:col>3</xdr:col>
      <xdr:colOff>754380</xdr:colOff>
      <xdr:row>4</xdr:row>
      <xdr:rowOff>297180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3A28CC73-4199-E436-4B31-27FDDFB0D912}"/>
            </a:ext>
          </a:extLst>
        </xdr:cNvPr>
        <xdr:cNvSpPr/>
      </xdr:nvSpPr>
      <xdr:spPr>
        <a:xfrm>
          <a:off x="2415540" y="762000"/>
          <a:ext cx="632460" cy="198120"/>
        </a:xfrm>
        <a:prstGeom prst="rightArrow">
          <a:avLst>
            <a:gd name="adj1" fmla="val 50000"/>
            <a:gd name="adj2" fmla="val 54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4</xdr:col>
      <xdr:colOff>228600</xdr:colOff>
      <xdr:row>4</xdr:row>
      <xdr:rowOff>45720</xdr:rowOff>
    </xdr:from>
    <xdr:to>
      <xdr:col>4</xdr:col>
      <xdr:colOff>563880</xdr:colOff>
      <xdr:row>4</xdr:row>
      <xdr:rowOff>381000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8C99BB96-2387-F182-E25F-FD150100D542}"/>
            </a:ext>
          </a:extLst>
        </xdr:cNvPr>
        <xdr:cNvSpPr/>
      </xdr:nvSpPr>
      <xdr:spPr>
        <a:xfrm>
          <a:off x="2606040" y="708660"/>
          <a:ext cx="335280" cy="3352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>
    <xdr:from>
      <xdr:col>5</xdr:col>
      <xdr:colOff>213360</xdr:colOff>
      <xdr:row>4</xdr:row>
      <xdr:rowOff>91440</xdr:rowOff>
    </xdr:from>
    <xdr:to>
      <xdr:col>5</xdr:col>
      <xdr:colOff>571500</xdr:colOff>
      <xdr:row>4</xdr:row>
      <xdr:rowOff>373380</xdr:rowOff>
    </xdr:to>
    <xdr:sp macro="" textlink="">
      <xdr:nvSpPr>
        <xdr:cNvPr id="5" name="Diagrama de flujo: combinar 4">
          <a:extLst>
            <a:ext uri="{FF2B5EF4-FFF2-40B4-BE49-F238E27FC236}">
              <a16:creationId xmlns:a16="http://schemas.microsoft.com/office/drawing/2014/main" id="{46672FD6-26D4-3588-4359-D288F0F4D607}"/>
            </a:ext>
          </a:extLst>
        </xdr:cNvPr>
        <xdr:cNvSpPr/>
      </xdr:nvSpPr>
      <xdr:spPr>
        <a:xfrm>
          <a:off x="3383280" y="754380"/>
          <a:ext cx="358140" cy="281940"/>
        </a:xfrm>
        <a:prstGeom prst="flowChartMerg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47</xdr:row>
      <xdr:rowOff>38100</xdr:rowOff>
    </xdr:from>
    <xdr:to>
      <xdr:col>3</xdr:col>
      <xdr:colOff>266700</xdr:colOff>
      <xdr:row>47</xdr:row>
      <xdr:rowOff>219075</xdr:rowOff>
    </xdr:to>
    <xdr:grpSp>
      <xdr:nvGrpSpPr>
        <xdr:cNvPr id="2" name="Group 232">
          <a:extLst>
            <a:ext uri="{FF2B5EF4-FFF2-40B4-BE49-F238E27FC236}">
              <a16:creationId xmlns:a16="http://schemas.microsoft.com/office/drawing/2014/main" id="{E1E4519C-DBF4-4F84-B7ED-92CECC00BDEA}"/>
            </a:ext>
          </a:extLst>
        </xdr:cNvPr>
        <xdr:cNvGrpSpPr>
          <a:grpSpLocks/>
        </xdr:cNvGrpSpPr>
      </xdr:nvGrpSpPr>
      <xdr:grpSpPr bwMode="auto">
        <a:xfrm>
          <a:off x="2402205" y="8321040"/>
          <a:ext cx="219075" cy="180975"/>
          <a:chOff x="304" y="241"/>
          <a:chExt cx="29" cy="29"/>
        </a:xfrm>
      </xdr:grpSpPr>
      <xdr:sp macro="" textlink="">
        <xdr:nvSpPr>
          <xdr:cNvPr id="3" name="Oval 233">
            <a:extLst>
              <a:ext uri="{FF2B5EF4-FFF2-40B4-BE49-F238E27FC236}">
                <a16:creationId xmlns:a16="http://schemas.microsoft.com/office/drawing/2014/main" id="{71577065-22CC-44B5-8585-643623E41B2F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" name="AutoShape 234">
            <a:extLst>
              <a:ext uri="{FF2B5EF4-FFF2-40B4-BE49-F238E27FC236}">
                <a16:creationId xmlns:a16="http://schemas.microsoft.com/office/drawing/2014/main" id="{1CFF524F-D6B2-0741-5A39-71AB70C345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38100</xdr:colOff>
      <xdr:row>21</xdr:row>
      <xdr:rowOff>7620</xdr:rowOff>
    </xdr:from>
    <xdr:to>
      <xdr:col>3</xdr:col>
      <xdr:colOff>384810</xdr:colOff>
      <xdr:row>46</xdr:row>
      <xdr:rowOff>0</xdr:rowOff>
    </xdr:to>
    <xdr:sp macro="" textlink="">
      <xdr:nvSpPr>
        <xdr:cNvPr id="5" name="AutoShape 235">
          <a:extLst>
            <a:ext uri="{FF2B5EF4-FFF2-40B4-BE49-F238E27FC236}">
              <a16:creationId xmlns:a16="http://schemas.microsoft.com/office/drawing/2014/main" id="{82D93808-17D4-4A34-A71F-B511CB9D6597}"/>
            </a:ext>
          </a:extLst>
        </xdr:cNvPr>
        <xdr:cNvSpPr>
          <a:spLocks noChangeArrowheads="1"/>
        </xdr:cNvSpPr>
      </xdr:nvSpPr>
      <xdr:spPr bwMode="auto">
        <a:xfrm rot="5400000">
          <a:off x="318135" y="5640705"/>
          <a:ext cx="449580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9524</xdr:colOff>
      <xdr:row>46</xdr:row>
      <xdr:rowOff>104775</xdr:rowOff>
    </xdr:from>
    <xdr:to>
      <xdr:col>6</xdr:col>
      <xdr:colOff>769619</xdr:colOff>
      <xdr:row>48</xdr:row>
      <xdr:rowOff>9525</xdr:rowOff>
    </xdr:to>
    <xdr:sp macro="" textlink="">
      <xdr:nvSpPr>
        <xdr:cNvPr id="6" name="AutoShape 236">
          <a:extLst>
            <a:ext uri="{FF2B5EF4-FFF2-40B4-BE49-F238E27FC236}">
              <a16:creationId xmlns:a16="http://schemas.microsoft.com/office/drawing/2014/main" id="{38DF8282-055F-4F29-902C-7478628B5497}"/>
            </a:ext>
          </a:extLst>
        </xdr:cNvPr>
        <xdr:cNvSpPr>
          <a:spLocks noChangeArrowheads="1"/>
        </xdr:cNvSpPr>
      </xdr:nvSpPr>
      <xdr:spPr bwMode="auto">
        <a:xfrm>
          <a:off x="3933824" y="8166735"/>
          <a:ext cx="154495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8</xdr:col>
      <xdr:colOff>782955</xdr:colOff>
      <xdr:row>110</xdr:row>
      <xdr:rowOff>121920</xdr:rowOff>
    </xdr:from>
    <xdr:to>
      <xdr:col>12</xdr:col>
      <xdr:colOff>782955</xdr:colOff>
      <xdr:row>113</xdr:row>
      <xdr:rowOff>93345</xdr:rowOff>
    </xdr:to>
    <xdr:grpSp>
      <xdr:nvGrpSpPr>
        <xdr:cNvPr id="7" name="Group 245">
          <a:extLst>
            <a:ext uri="{FF2B5EF4-FFF2-40B4-BE49-F238E27FC236}">
              <a16:creationId xmlns:a16="http://schemas.microsoft.com/office/drawing/2014/main" id="{52123B6E-73DA-446A-88AE-E5195AF506FD}"/>
            </a:ext>
          </a:extLst>
        </xdr:cNvPr>
        <xdr:cNvGrpSpPr>
          <a:grpSpLocks/>
        </xdr:cNvGrpSpPr>
      </xdr:nvGrpSpPr>
      <xdr:grpSpPr bwMode="auto">
        <a:xfrm>
          <a:off x="7412355" y="19773900"/>
          <a:ext cx="2964180" cy="474345"/>
          <a:chOff x="79" y="968"/>
          <a:chExt cx="303" cy="36"/>
        </a:xfrm>
      </xdr:grpSpPr>
      <xdr:sp macro="" textlink="">
        <xdr:nvSpPr>
          <xdr:cNvPr id="8" name="Line 237">
            <a:extLst>
              <a:ext uri="{FF2B5EF4-FFF2-40B4-BE49-F238E27FC236}">
                <a16:creationId xmlns:a16="http://schemas.microsoft.com/office/drawing/2014/main" id="{898CB55E-906A-F335-4B0A-80C3F03DA408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241">
            <a:extLst>
              <a:ext uri="{FF2B5EF4-FFF2-40B4-BE49-F238E27FC236}">
                <a16:creationId xmlns:a16="http://schemas.microsoft.com/office/drawing/2014/main" id="{A5D7082B-95E7-4BC5-AAE6-A1FDF404F064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42">
            <a:extLst>
              <a:ext uri="{FF2B5EF4-FFF2-40B4-BE49-F238E27FC236}">
                <a16:creationId xmlns:a16="http://schemas.microsoft.com/office/drawing/2014/main" id="{0C91DFB0-0A1A-8410-DB82-6F814E0492FF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243">
            <a:extLst>
              <a:ext uri="{FF2B5EF4-FFF2-40B4-BE49-F238E27FC236}">
                <a16:creationId xmlns:a16="http://schemas.microsoft.com/office/drawing/2014/main" id="{DA247C4F-3F6D-D7D5-92A1-5037D5A30D80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44">
            <a:extLst>
              <a:ext uri="{FF2B5EF4-FFF2-40B4-BE49-F238E27FC236}">
                <a16:creationId xmlns:a16="http://schemas.microsoft.com/office/drawing/2014/main" id="{C949E5A0-536C-A81E-1089-7CADA94F08E6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19050</xdr:colOff>
      <xdr:row>31</xdr:row>
      <xdr:rowOff>19050</xdr:rowOff>
    </xdr:from>
    <xdr:to>
      <xdr:col>20</xdr:col>
      <xdr:colOff>47625</xdr:colOff>
      <xdr:row>34</xdr:row>
      <xdr:rowOff>0</xdr:rowOff>
    </xdr:to>
    <xdr:grpSp>
      <xdr:nvGrpSpPr>
        <xdr:cNvPr id="13" name="Group 256">
          <a:extLst>
            <a:ext uri="{FF2B5EF4-FFF2-40B4-BE49-F238E27FC236}">
              <a16:creationId xmlns:a16="http://schemas.microsoft.com/office/drawing/2014/main" id="{E1F54964-0933-459F-8CFD-21BA76E2B5C8}"/>
            </a:ext>
          </a:extLst>
        </xdr:cNvPr>
        <xdr:cNvGrpSpPr>
          <a:grpSpLocks/>
        </xdr:cNvGrpSpPr>
      </xdr:nvGrpSpPr>
      <xdr:grpSpPr bwMode="auto">
        <a:xfrm>
          <a:off x="15106650" y="5421630"/>
          <a:ext cx="813435" cy="483870"/>
          <a:chOff x="267" y="335"/>
          <a:chExt cx="150" cy="88"/>
        </a:xfrm>
      </xdr:grpSpPr>
      <xdr:sp macro="" textlink="">
        <xdr:nvSpPr>
          <xdr:cNvPr id="14" name="Rectangle 257">
            <a:extLst>
              <a:ext uri="{FF2B5EF4-FFF2-40B4-BE49-F238E27FC236}">
                <a16:creationId xmlns:a16="http://schemas.microsoft.com/office/drawing/2014/main" id="{40FAB56A-2FE1-AB13-4958-44FED72B6543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15" name="AutoShape 258">
            <a:extLst>
              <a:ext uri="{FF2B5EF4-FFF2-40B4-BE49-F238E27FC236}">
                <a16:creationId xmlns:a16="http://schemas.microsoft.com/office/drawing/2014/main" id="{BDA6C105-7D18-F3D0-0118-C796DE243D0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6" name="AutoShape 259">
            <a:extLst>
              <a:ext uri="{FF2B5EF4-FFF2-40B4-BE49-F238E27FC236}">
                <a16:creationId xmlns:a16="http://schemas.microsoft.com/office/drawing/2014/main" id="{E515F1C8-1158-2C11-428E-76A21A41B3BB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7" name="AutoShape 260">
            <a:extLst>
              <a:ext uri="{FF2B5EF4-FFF2-40B4-BE49-F238E27FC236}">
                <a16:creationId xmlns:a16="http://schemas.microsoft.com/office/drawing/2014/main" id="{198F3920-ECB8-7B65-2C56-3A7D546C855A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8" name="AutoShape 261">
            <a:extLst>
              <a:ext uri="{FF2B5EF4-FFF2-40B4-BE49-F238E27FC236}">
                <a16:creationId xmlns:a16="http://schemas.microsoft.com/office/drawing/2014/main" id="{CDEABB0F-7D5F-163B-B3EE-ED6F3C49524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19" name="AutoShape 262">
            <a:extLst>
              <a:ext uri="{FF2B5EF4-FFF2-40B4-BE49-F238E27FC236}">
                <a16:creationId xmlns:a16="http://schemas.microsoft.com/office/drawing/2014/main" id="{EC57F05F-64B3-170D-BD14-03A6F6B8DD62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" name="AutoShape 263">
            <a:extLst>
              <a:ext uri="{FF2B5EF4-FFF2-40B4-BE49-F238E27FC236}">
                <a16:creationId xmlns:a16="http://schemas.microsoft.com/office/drawing/2014/main" id="{4DFAEE11-4106-29C6-93A9-2C6D73B98712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47625</xdr:colOff>
      <xdr:row>36</xdr:row>
      <xdr:rowOff>38100</xdr:rowOff>
    </xdr:from>
    <xdr:to>
      <xdr:col>10</xdr:col>
      <xdr:colOff>266700</xdr:colOff>
      <xdr:row>36</xdr:row>
      <xdr:rowOff>165735</xdr:rowOff>
    </xdr:to>
    <xdr:grpSp>
      <xdr:nvGrpSpPr>
        <xdr:cNvPr id="21" name="Group 232">
          <a:extLst>
            <a:ext uri="{FF2B5EF4-FFF2-40B4-BE49-F238E27FC236}">
              <a16:creationId xmlns:a16="http://schemas.microsoft.com/office/drawing/2014/main" id="{80009143-2443-432B-8EBD-145325EF4AE2}"/>
            </a:ext>
          </a:extLst>
        </xdr:cNvPr>
        <xdr:cNvGrpSpPr>
          <a:grpSpLocks/>
        </xdr:cNvGrpSpPr>
      </xdr:nvGrpSpPr>
      <xdr:grpSpPr bwMode="auto">
        <a:xfrm>
          <a:off x="8246745" y="6339840"/>
          <a:ext cx="219075" cy="127635"/>
          <a:chOff x="304" y="241"/>
          <a:chExt cx="29" cy="29"/>
        </a:xfrm>
      </xdr:grpSpPr>
      <xdr:sp macro="" textlink="">
        <xdr:nvSpPr>
          <xdr:cNvPr id="22" name="Oval 233">
            <a:extLst>
              <a:ext uri="{FF2B5EF4-FFF2-40B4-BE49-F238E27FC236}">
                <a16:creationId xmlns:a16="http://schemas.microsoft.com/office/drawing/2014/main" id="{6B3DE2FC-7EA1-ACB4-B258-2FCD68B24A29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" name="AutoShape 234">
            <a:extLst>
              <a:ext uri="{FF2B5EF4-FFF2-40B4-BE49-F238E27FC236}">
                <a16:creationId xmlns:a16="http://schemas.microsoft.com/office/drawing/2014/main" id="{FBDB304C-763F-A05C-5517-1A565D12CF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7</xdr:col>
      <xdr:colOff>967741</xdr:colOff>
      <xdr:row>35</xdr:row>
      <xdr:rowOff>129540</xdr:rowOff>
    </xdr:from>
    <xdr:to>
      <xdr:col>10</xdr:col>
      <xdr:colOff>30481</xdr:colOff>
      <xdr:row>37</xdr:row>
      <xdr:rowOff>55245</xdr:rowOff>
    </xdr:to>
    <xdr:sp macro="" textlink="">
      <xdr:nvSpPr>
        <xdr:cNvPr id="24" name="AutoShape 235">
          <a:extLst>
            <a:ext uri="{FF2B5EF4-FFF2-40B4-BE49-F238E27FC236}">
              <a16:creationId xmlns:a16="http://schemas.microsoft.com/office/drawing/2014/main" id="{C81059BB-529C-4DE5-A5E5-AB2608FA7E40}"/>
            </a:ext>
          </a:extLst>
        </xdr:cNvPr>
        <xdr:cNvSpPr>
          <a:spLocks noChangeArrowheads="1"/>
        </xdr:cNvSpPr>
      </xdr:nvSpPr>
      <xdr:spPr bwMode="auto">
        <a:xfrm>
          <a:off x="6461761" y="6210300"/>
          <a:ext cx="1767840" cy="3676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63</xdr:row>
      <xdr:rowOff>38100</xdr:rowOff>
    </xdr:from>
    <xdr:to>
      <xdr:col>10</xdr:col>
      <xdr:colOff>266700</xdr:colOff>
      <xdr:row>63</xdr:row>
      <xdr:rowOff>165735</xdr:rowOff>
    </xdr:to>
    <xdr:grpSp>
      <xdr:nvGrpSpPr>
        <xdr:cNvPr id="25" name="Group 232">
          <a:extLst>
            <a:ext uri="{FF2B5EF4-FFF2-40B4-BE49-F238E27FC236}">
              <a16:creationId xmlns:a16="http://schemas.microsoft.com/office/drawing/2014/main" id="{149B54B8-FFCC-4549-BB48-D40BD9614A5F}"/>
            </a:ext>
          </a:extLst>
        </xdr:cNvPr>
        <xdr:cNvGrpSpPr>
          <a:grpSpLocks/>
        </xdr:cNvGrpSpPr>
      </xdr:nvGrpSpPr>
      <xdr:grpSpPr bwMode="auto">
        <a:xfrm>
          <a:off x="8246745" y="11254740"/>
          <a:ext cx="219075" cy="127635"/>
          <a:chOff x="304" y="241"/>
          <a:chExt cx="29" cy="29"/>
        </a:xfrm>
      </xdr:grpSpPr>
      <xdr:sp macro="" textlink="">
        <xdr:nvSpPr>
          <xdr:cNvPr id="26" name="Oval 233">
            <a:extLst>
              <a:ext uri="{FF2B5EF4-FFF2-40B4-BE49-F238E27FC236}">
                <a16:creationId xmlns:a16="http://schemas.microsoft.com/office/drawing/2014/main" id="{3F76F772-6074-6111-53E3-AF5A1D54232E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7" name="AutoShape 234">
            <a:extLst>
              <a:ext uri="{FF2B5EF4-FFF2-40B4-BE49-F238E27FC236}">
                <a16:creationId xmlns:a16="http://schemas.microsoft.com/office/drawing/2014/main" id="{710C2F9D-EE5F-515B-3E95-834ACBFD17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6</xdr:col>
      <xdr:colOff>251460</xdr:colOff>
      <xdr:row>62</xdr:row>
      <xdr:rowOff>91440</xdr:rowOff>
    </xdr:from>
    <xdr:to>
      <xdr:col>10</xdr:col>
      <xdr:colOff>9525</xdr:colOff>
      <xdr:row>64</xdr:row>
      <xdr:rowOff>47625</xdr:rowOff>
    </xdr:to>
    <xdr:sp macro="" textlink="">
      <xdr:nvSpPr>
        <xdr:cNvPr id="28" name="AutoShape 235">
          <a:extLst>
            <a:ext uri="{FF2B5EF4-FFF2-40B4-BE49-F238E27FC236}">
              <a16:creationId xmlns:a16="http://schemas.microsoft.com/office/drawing/2014/main" id="{44EE10CA-0B97-4688-9665-BCD139FAD86B}"/>
            </a:ext>
          </a:extLst>
        </xdr:cNvPr>
        <xdr:cNvSpPr>
          <a:spLocks noChangeArrowheads="1"/>
        </xdr:cNvSpPr>
      </xdr:nvSpPr>
      <xdr:spPr bwMode="auto">
        <a:xfrm>
          <a:off x="4960620" y="11079480"/>
          <a:ext cx="3248025" cy="40576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10</xdr:col>
      <xdr:colOff>47625</xdr:colOff>
      <xdr:row>74</xdr:row>
      <xdr:rowOff>38100</xdr:rowOff>
    </xdr:from>
    <xdr:to>
      <xdr:col>10</xdr:col>
      <xdr:colOff>266700</xdr:colOff>
      <xdr:row>74</xdr:row>
      <xdr:rowOff>165735</xdr:rowOff>
    </xdr:to>
    <xdr:grpSp>
      <xdr:nvGrpSpPr>
        <xdr:cNvPr id="29" name="Group 232">
          <a:extLst>
            <a:ext uri="{FF2B5EF4-FFF2-40B4-BE49-F238E27FC236}">
              <a16:creationId xmlns:a16="http://schemas.microsoft.com/office/drawing/2014/main" id="{30891312-DFBE-470F-AFBD-738D6D5D855C}"/>
            </a:ext>
          </a:extLst>
        </xdr:cNvPr>
        <xdr:cNvGrpSpPr>
          <a:grpSpLocks/>
        </xdr:cNvGrpSpPr>
      </xdr:nvGrpSpPr>
      <xdr:grpSpPr bwMode="auto">
        <a:xfrm>
          <a:off x="8246745" y="13243560"/>
          <a:ext cx="219075" cy="127635"/>
          <a:chOff x="304" y="241"/>
          <a:chExt cx="29" cy="29"/>
        </a:xfrm>
      </xdr:grpSpPr>
      <xdr:sp macro="" textlink="">
        <xdr:nvSpPr>
          <xdr:cNvPr id="30" name="Oval 233">
            <a:extLst>
              <a:ext uri="{FF2B5EF4-FFF2-40B4-BE49-F238E27FC236}">
                <a16:creationId xmlns:a16="http://schemas.microsoft.com/office/drawing/2014/main" id="{F06DADD4-FEF8-17C3-6760-014DBB9FDC10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AutoShape 234">
            <a:extLst>
              <a:ext uri="{FF2B5EF4-FFF2-40B4-BE49-F238E27FC236}">
                <a16:creationId xmlns:a16="http://schemas.microsoft.com/office/drawing/2014/main" id="{518A2729-640F-E497-E920-3F16F614AF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5</xdr:col>
      <xdr:colOff>754380</xdr:colOff>
      <xdr:row>73</xdr:row>
      <xdr:rowOff>150495</xdr:rowOff>
    </xdr:from>
    <xdr:to>
      <xdr:col>9</xdr:col>
      <xdr:colOff>748665</xdr:colOff>
      <xdr:row>75</xdr:row>
      <xdr:rowOff>55245</xdr:rowOff>
    </xdr:to>
    <xdr:sp macro="" textlink="">
      <xdr:nvSpPr>
        <xdr:cNvPr id="32" name="AutoShape 235">
          <a:extLst>
            <a:ext uri="{FF2B5EF4-FFF2-40B4-BE49-F238E27FC236}">
              <a16:creationId xmlns:a16="http://schemas.microsoft.com/office/drawing/2014/main" id="{1B642320-49A1-4032-AE4F-5062FF98FB83}"/>
            </a:ext>
          </a:extLst>
        </xdr:cNvPr>
        <xdr:cNvSpPr>
          <a:spLocks noChangeArrowheads="1"/>
        </xdr:cNvSpPr>
      </xdr:nvSpPr>
      <xdr:spPr bwMode="auto">
        <a:xfrm>
          <a:off x="4678680" y="13127355"/>
          <a:ext cx="3484245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85</xdr:row>
      <xdr:rowOff>38100</xdr:rowOff>
    </xdr:from>
    <xdr:to>
      <xdr:col>10</xdr:col>
      <xdr:colOff>266700</xdr:colOff>
      <xdr:row>85</xdr:row>
      <xdr:rowOff>165735</xdr:rowOff>
    </xdr:to>
    <xdr:grpSp>
      <xdr:nvGrpSpPr>
        <xdr:cNvPr id="33" name="Group 232">
          <a:extLst>
            <a:ext uri="{FF2B5EF4-FFF2-40B4-BE49-F238E27FC236}">
              <a16:creationId xmlns:a16="http://schemas.microsoft.com/office/drawing/2014/main" id="{72614C19-178A-4381-9A46-6CCB01DC22AE}"/>
            </a:ext>
          </a:extLst>
        </xdr:cNvPr>
        <xdr:cNvGrpSpPr>
          <a:grpSpLocks/>
        </xdr:cNvGrpSpPr>
      </xdr:nvGrpSpPr>
      <xdr:grpSpPr bwMode="auto">
        <a:xfrm>
          <a:off x="8246745" y="15285720"/>
          <a:ext cx="219075" cy="127635"/>
          <a:chOff x="304" y="241"/>
          <a:chExt cx="29" cy="29"/>
        </a:xfrm>
      </xdr:grpSpPr>
      <xdr:sp macro="" textlink="">
        <xdr:nvSpPr>
          <xdr:cNvPr id="34" name="Oval 233">
            <a:extLst>
              <a:ext uri="{FF2B5EF4-FFF2-40B4-BE49-F238E27FC236}">
                <a16:creationId xmlns:a16="http://schemas.microsoft.com/office/drawing/2014/main" id="{F11D57B8-6D56-BB14-992F-29D6B09E4F1F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5" name="AutoShape 234">
            <a:extLst>
              <a:ext uri="{FF2B5EF4-FFF2-40B4-BE49-F238E27FC236}">
                <a16:creationId xmlns:a16="http://schemas.microsoft.com/office/drawing/2014/main" id="{23CCE6AC-A3FD-CC1F-27C9-F00B51B3E0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190499</xdr:colOff>
      <xdr:row>84</xdr:row>
      <xdr:rowOff>142875</xdr:rowOff>
    </xdr:from>
    <xdr:to>
      <xdr:col>10</xdr:col>
      <xdr:colOff>9524</xdr:colOff>
      <xdr:row>86</xdr:row>
      <xdr:rowOff>47625</xdr:rowOff>
    </xdr:to>
    <xdr:sp macro="" textlink="">
      <xdr:nvSpPr>
        <xdr:cNvPr id="36" name="AutoShape 235">
          <a:extLst>
            <a:ext uri="{FF2B5EF4-FFF2-40B4-BE49-F238E27FC236}">
              <a16:creationId xmlns:a16="http://schemas.microsoft.com/office/drawing/2014/main" id="{7E7C5244-1540-4CB2-8E5C-B52C65B9B87B}"/>
            </a:ext>
          </a:extLst>
        </xdr:cNvPr>
        <xdr:cNvSpPr>
          <a:spLocks noChangeArrowheads="1"/>
        </xdr:cNvSpPr>
      </xdr:nvSpPr>
      <xdr:spPr bwMode="auto">
        <a:xfrm rot="10800000">
          <a:off x="2545079" y="15161895"/>
          <a:ext cx="5663565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47625</xdr:colOff>
      <xdr:row>98</xdr:row>
      <xdr:rowOff>38100</xdr:rowOff>
    </xdr:from>
    <xdr:to>
      <xdr:col>10</xdr:col>
      <xdr:colOff>266700</xdr:colOff>
      <xdr:row>98</xdr:row>
      <xdr:rowOff>165735</xdr:rowOff>
    </xdr:to>
    <xdr:grpSp>
      <xdr:nvGrpSpPr>
        <xdr:cNvPr id="37" name="Group 232">
          <a:extLst>
            <a:ext uri="{FF2B5EF4-FFF2-40B4-BE49-F238E27FC236}">
              <a16:creationId xmlns:a16="http://schemas.microsoft.com/office/drawing/2014/main" id="{772395DC-B6CE-49F5-9E75-0A7073565481}"/>
            </a:ext>
          </a:extLst>
        </xdr:cNvPr>
        <xdr:cNvGrpSpPr>
          <a:grpSpLocks/>
        </xdr:cNvGrpSpPr>
      </xdr:nvGrpSpPr>
      <xdr:grpSpPr bwMode="auto">
        <a:xfrm>
          <a:off x="8246745" y="17602200"/>
          <a:ext cx="219075" cy="127635"/>
          <a:chOff x="304" y="241"/>
          <a:chExt cx="29" cy="29"/>
        </a:xfrm>
      </xdr:grpSpPr>
      <xdr:sp macro="" textlink="">
        <xdr:nvSpPr>
          <xdr:cNvPr id="38" name="Oval 233">
            <a:extLst>
              <a:ext uri="{FF2B5EF4-FFF2-40B4-BE49-F238E27FC236}">
                <a16:creationId xmlns:a16="http://schemas.microsoft.com/office/drawing/2014/main" id="{3E9B0144-A512-DAF0-7F42-2C02A3E3FBD5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9" name="AutoShape 234">
            <a:extLst>
              <a:ext uri="{FF2B5EF4-FFF2-40B4-BE49-F238E27FC236}">
                <a16:creationId xmlns:a16="http://schemas.microsoft.com/office/drawing/2014/main" id="{5618B841-B677-FDD0-AA52-8DAD92D065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</xdr:col>
      <xdr:colOff>114299</xdr:colOff>
      <xdr:row>97</xdr:row>
      <xdr:rowOff>198119</xdr:rowOff>
    </xdr:from>
    <xdr:to>
      <xdr:col>10</xdr:col>
      <xdr:colOff>9524</xdr:colOff>
      <xdr:row>99</xdr:row>
      <xdr:rowOff>47624</xdr:rowOff>
    </xdr:to>
    <xdr:sp macro="" textlink="">
      <xdr:nvSpPr>
        <xdr:cNvPr id="40" name="AutoShape 235">
          <a:extLst>
            <a:ext uri="{FF2B5EF4-FFF2-40B4-BE49-F238E27FC236}">
              <a16:creationId xmlns:a16="http://schemas.microsoft.com/office/drawing/2014/main" id="{3A24EAD5-7D93-440F-BE7B-C5136873A1BD}"/>
            </a:ext>
          </a:extLst>
        </xdr:cNvPr>
        <xdr:cNvSpPr>
          <a:spLocks noChangeArrowheads="1"/>
        </xdr:cNvSpPr>
      </xdr:nvSpPr>
      <xdr:spPr bwMode="auto">
        <a:xfrm>
          <a:off x="899159" y="17541239"/>
          <a:ext cx="7309485" cy="291465"/>
        </a:xfrm>
        <a:prstGeom prst="rightArrow">
          <a:avLst>
            <a:gd name="adj1" fmla="val 53187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47625</xdr:colOff>
      <xdr:row>60</xdr:row>
      <xdr:rowOff>38100</xdr:rowOff>
    </xdr:from>
    <xdr:to>
      <xdr:col>2</xdr:col>
      <xdr:colOff>266700</xdr:colOff>
      <xdr:row>60</xdr:row>
      <xdr:rowOff>165735</xdr:rowOff>
    </xdr:to>
    <xdr:grpSp>
      <xdr:nvGrpSpPr>
        <xdr:cNvPr id="41" name="Group 232">
          <a:extLst>
            <a:ext uri="{FF2B5EF4-FFF2-40B4-BE49-F238E27FC236}">
              <a16:creationId xmlns:a16="http://schemas.microsoft.com/office/drawing/2014/main" id="{E5145118-A85C-49B1-AA0A-5AB4843D1978}"/>
            </a:ext>
          </a:extLst>
        </xdr:cNvPr>
        <xdr:cNvGrpSpPr>
          <a:grpSpLocks/>
        </xdr:cNvGrpSpPr>
      </xdr:nvGrpSpPr>
      <xdr:grpSpPr bwMode="auto">
        <a:xfrm>
          <a:off x="1617345" y="10629900"/>
          <a:ext cx="219075" cy="127635"/>
          <a:chOff x="304" y="241"/>
          <a:chExt cx="29" cy="29"/>
        </a:xfrm>
      </xdr:grpSpPr>
      <xdr:sp macro="" textlink="">
        <xdr:nvSpPr>
          <xdr:cNvPr id="42" name="Oval 233">
            <a:extLst>
              <a:ext uri="{FF2B5EF4-FFF2-40B4-BE49-F238E27FC236}">
                <a16:creationId xmlns:a16="http://schemas.microsoft.com/office/drawing/2014/main" id="{6F783473-FD6C-EA9B-DFEA-DEDF4C2F97C2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3" name="AutoShape 234">
            <a:extLst>
              <a:ext uri="{FF2B5EF4-FFF2-40B4-BE49-F238E27FC236}">
                <a16:creationId xmlns:a16="http://schemas.microsoft.com/office/drawing/2014/main" id="{141FDA88-BD6F-BFE8-D1C4-5AA6D58C38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4</xdr:col>
      <xdr:colOff>45720</xdr:colOff>
      <xdr:row>59</xdr:row>
      <xdr:rowOff>36195</xdr:rowOff>
    </xdr:from>
    <xdr:to>
      <xdr:col>14</xdr:col>
      <xdr:colOff>761999</xdr:colOff>
      <xdr:row>60</xdr:row>
      <xdr:rowOff>169545</xdr:rowOff>
    </xdr:to>
    <xdr:sp macro="" textlink="">
      <xdr:nvSpPr>
        <xdr:cNvPr id="44" name="AutoShape 235">
          <a:extLst>
            <a:ext uri="{FF2B5EF4-FFF2-40B4-BE49-F238E27FC236}">
              <a16:creationId xmlns:a16="http://schemas.microsoft.com/office/drawing/2014/main" id="{57716B2E-768F-4EF6-B723-A98363E028D0}"/>
            </a:ext>
          </a:extLst>
        </xdr:cNvPr>
        <xdr:cNvSpPr>
          <a:spLocks noChangeArrowheads="1"/>
        </xdr:cNvSpPr>
      </xdr:nvSpPr>
      <xdr:spPr bwMode="auto">
        <a:xfrm>
          <a:off x="3185160" y="10407015"/>
          <a:ext cx="8740139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4</xdr:col>
      <xdr:colOff>60960</xdr:colOff>
      <xdr:row>66</xdr:row>
      <xdr:rowOff>38100</xdr:rowOff>
    </xdr:from>
    <xdr:to>
      <xdr:col>9</xdr:col>
      <xdr:colOff>769620</xdr:colOff>
      <xdr:row>68</xdr:row>
      <xdr:rowOff>0</xdr:rowOff>
    </xdr:to>
    <xdr:sp macro="" textlink="">
      <xdr:nvSpPr>
        <xdr:cNvPr id="45" name="AutoShape 33">
          <a:extLst>
            <a:ext uri="{FF2B5EF4-FFF2-40B4-BE49-F238E27FC236}">
              <a16:creationId xmlns:a16="http://schemas.microsoft.com/office/drawing/2014/main" id="{20B84777-0084-4DF4-9C63-094A25FC3708}"/>
            </a:ext>
          </a:extLst>
        </xdr:cNvPr>
        <xdr:cNvSpPr>
          <a:spLocks noChangeArrowheads="1"/>
        </xdr:cNvSpPr>
      </xdr:nvSpPr>
      <xdr:spPr bwMode="auto">
        <a:xfrm rot="10800000">
          <a:off x="3200400" y="11818620"/>
          <a:ext cx="4983480" cy="29718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23</xdr:col>
      <xdr:colOff>0</xdr:colOff>
      <xdr:row>63</xdr:row>
      <xdr:rowOff>0</xdr:rowOff>
    </xdr:from>
    <xdr:to>
      <xdr:col>24</xdr:col>
      <xdr:colOff>28575</xdr:colOff>
      <xdr:row>65</xdr:row>
      <xdr:rowOff>87630</xdr:rowOff>
    </xdr:to>
    <xdr:grpSp>
      <xdr:nvGrpSpPr>
        <xdr:cNvPr id="46" name="Group 256">
          <a:extLst>
            <a:ext uri="{FF2B5EF4-FFF2-40B4-BE49-F238E27FC236}">
              <a16:creationId xmlns:a16="http://schemas.microsoft.com/office/drawing/2014/main" id="{0540E2A0-85A4-4013-B395-9EC599B4B4BD}"/>
            </a:ext>
          </a:extLst>
        </xdr:cNvPr>
        <xdr:cNvGrpSpPr>
          <a:grpSpLocks/>
        </xdr:cNvGrpSpPr>
      </xdr:nvGrpSpPr>
      <xdr:grpSpPr bwMode="auto">
        <a:xfrm>
          <a:off x="18227040" y="11216640"/>
          <a:ext cx="813435" cy="483870"/>
          <a:chOff x="267" y="335"/>
          <a:chExt cx="150" cy="88"/>
        </a:xfrm>
      </xdr:grpSpPr>
      <xdr:sp macro="" textlink="">
        <xdr:nvSpPr>
          <xdr:cNvPr id="47" name="Rectangle 257">
            <a:extLst>
              <a:ext uri="{FF2B5EF4-FFF2-40B4-BE49-F238E27FC236}">
                <a16:creationId xmlns:a16="http://schemas.microsoft.com/office/drawing/2014/main" id="{53BE129F-8080-D13D-E53F-1B448D460AFF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48" name="AutoShape 258">
            <a:extLst>
              <a:ext uri="{FF2B5EF4-FFF2-40B4-BE49-F238E27FC236}">
                <a16:creationId xmlns:a16="http://schemas.microsoft.com/office/drawing/2014/main" id="{08443B4A-EDD2-33CD-858D-51DBA323B7B1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49" name="AutoShape 259">
            <a:extLst>
              <a:ext uri="{FF2B5EF4-FFF2-40B4-BE49-F238E27FC236}">
                <a16:creationId xmlns:a16="http://schemas.microsoft.com/office/drawing/2014/main" id="{ECFEF4F6-1FFE-AD0B-2C89-BAC44143133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0" name="AutoShape 260">
            <a:extLst>
              <a:ext uri="{FF2B5EF4-FFF2-40B4-BE49-F238E27FC236}">
                <a16:creationId xmlns:a16="http://schemas.microsoft.com/office/drawing/2014/main" id="{3E3ED102-E759-C256-C1E6-632FFC01718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1" name="AutoShape 261">
            <a:extLst>
              <a:ext uri="{FF2B5EF4-FFF2-40B4-BE49-F238E27FC236}">
                <a16:creationId xmlns:a16="http://schemas.microsoft.com/office/drawing/2014/main" id="{CD714040-9368-7086-6A6C-DBD35F9B7D4F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2" name="AutoShape 262">
            <a:extLst>
              <a:ext uri="{FF2B5EF4-FFF2-40B4-BE49-F238E27FC236}">
                <a16:creationId xmlns:a16="http://schemas.microsoft.com/office/drawing/2014/main" id="{A9C1CFF0-4813-66CE-DAC2-8E6703A89242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3" name="AutoShape 263">
            <a:extLst>
              <a:ext uri="{FF2B5EF4-FFF2-40B4-BE49-F238E27FC236}">
                <a16:creationId xmlns:a16="http://schemas.microsoft.com/office/drawing/2014/main" id="{D986E1B9-38EC-5AF0-2E10-087471AFF6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0</xdr:colOff>
      <xdr:row>77</xdr:row>
      <xdr:rowOff>0</xdr:rowOff>
    </xdr:from>
    <xdr:to>
      <xdr:col>24</xdr:col>
      <xdr:colOff>28575</xdr:colOff>
      <xdr:row>79</xdr:row>
      <xdr:rowOff>148590</xdr:rowOff>
    </xdr:to>
    <xdr:grpSp>
      <xdr:nvGrpSpPr>
        <xdr:cNvPr id="54" name="Group 256">
          <a:extLst>
            <a:ext uri="{FF2B5EF4-FFF2-40B4-BE49-F238E27FC236}">
              <a16:creationId xmlns:a16="http://schemas.microsoft.com/office/drawing/2014/main" id="{15598723-3719-4E49-9365-7C205D916D88}"/>
            </a:ext>
          </a:extLst>
        </xdr:cNvPr>
        <xdr:cNvGrpSpPr>
          <a:grpSpLocks/>
        </xdr:cNvGrpSpPr>
      </xdr:nvGrpSpPr>
      <xdr:grpSpPr bwMode="auto">
        <a:xfrm>
          <a:off x="18227040" y="13830300"/>
          <a:ext cx="813435" cy="483870"/>
          <a:chOff x="267" y="335"/>
          <a:chExt cx="150" cy="88"/>
        </a:xfrm>
      </xdr:grpSpPr>
      <xdr:sp macro="" textlink="">
        <xdr:nvSpPr>
          <xdr:cNvPr id="55" name="Rectangle 257">
            <a:extLst>
              <a:ext uri="{FF2B5EF4-FFF2-40B4-BE49-F238E27FC236}">
                <a16:creationId xmlns:a16="http://schemas.microsoft.com/office/drawing/2014/main" id="{1669BD31-B2F2-C879-748F-8A03D2964D3C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56" name="AutoShape 258">
            <a:extLst>
              <a:ext uri="{FF2B5EF4-FFF2-40B4-BE49-F238E27FC236}">
                <a16:creationId xmlns:a16="http://schemas.microsoft.com/office/drawing/2014/main" id="{85179292-17EE-2563-72CB-1460699BF128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7" name="AutoShape 259">
            <a:extLst>
              <a:ext uri="{FF2B5EF4-FFF2-40B4-BE49-F238E27FC236}">
                <a16:creationId xmlns:a16="http://schemas.microsoft.com/office/drawing/2014/main" id="{352E7827-5FB9-9A77-CDB4-558D13117E68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8" name="AutoShape 260">
            <a:extLst>
              <a:ext uri="{FF2B5EF4-FFF2-40B4-BE49-F238E27FC236}">
                <a16:creationId xmlns:a16="http://schemas.microsoft.com/office/drawing/2014/main" id="{EC0150D0-3169-EE6F-AF74-32430F1E7FD5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59" name="AutoShape 261">
            <a:extLst>
              <a:ext uri="{FF2B5EF4-FFF2-40B4-BE49-F238E27FC236}">
                <a16:creationId xmlns:a16="http://schemas.microsoft.com/office/drawing/2014/main" id="{69D23589-374B-05C0-5A5D-48919C2D6CFE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0" name="AutoShape 262">
            <a:extLst>
              <a:ext uri="{FF2B5EF4-FFF2-40B4-BE49-F238E27FC236}">
                <a16:creationId xmlns:a16="http://schemas.microsoft.com/office/drawing/2014/main" id="{78C077D4-8030-B484-7584-68822B856C72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1" name="AutoShape 263">
            <a:extLst>
              <a:ext uri="{FF2B5EF4-FFF2-40B4-BE49-F238E27FC236}">
                <a16:creationId xmlns:a16="http://schemas.microsoft.com/office/drawing/2014/main" id="{877A984E-4B10-D55E-C421-1F89DB0EBE38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23</xdr:col>
      <xdr:colOff>0</xdr:colOff>
      <xdr:row>90</xdr:row>
      <xdr:rowOff>0</xdr:rowOff>
    </xdr:from>
    <xdr:to>
      <xdr:col>24</xdr:col>
      <xdr:colOff>28575</xdr:colOff>
      <xdr:row>92</xdr:row>
      <xdr:rowOff>148590</xdr:rowOff>
    </xdr:to>
    <xdr:grpSp>
      <xdr:nvGrpSpPr>
        <xdr:cNvPr id="62" name="Group 256">
          <a:extLst>
            <a:ext uri="{FF2B5EF4-FFF2-40B4-BE49-F238E27FC236}">
              <a16:creationId xmlns:a16="http://schemas.microsoft.com/office/drawing/2014/main" id="{F0725C0E-FA86-4C92-97CB-6325109F276A}"/>
            </a:ext>
          </a:extLst>
        </xdr:cNvPr>
        <xdr:cNvGrpSpPr>
          <a:grpSpLocks/>
        </xdr:cNvGrpSpPr>
      </xdr:nvGrpSpPr>
      <xdr:grpSpPr bwMode="auto">
        <a:xfrm>
          <a:off x="18227040" y="16154400"/>
          <a:ext cx="813435" cy="483870"/>
          <a:chOff x="267" y="335"/>
          <a:chExt cx="150" cy="88"/>
        </a:xfrm>
      </xdr:grpSpPr>
      <xdr:sp macro="" textlink="">
        <xdr:nvSpPr>
          <xdr:cNvPr id="63" name="Rectangle 257">
            <a:extLst>
              <a:ext uri="{FF2B5EF4-FFF2-40B4-BE49-F238E27FC236}">
                <a16:creationId xmlns:a16="http://schemas.microsoft.com/office/drawing/2014/main" id="{03F4FA87-2642-814C-C90B-CF7E978B8CEC}"/>
              </a:ext>
            </a:extLst>
          </xdr:cNvPr>
          <xdr:cNvSpPr>
            <a:spLocks noChangeArrowheads="1"/>
          </xdr:cNvSpPr>
        </xdr:nvSpPr>
        <xdr:spPr bwMode="auto">
          <a:xfrm>
            <a:off x="269" y="351"/>
            <a:ext cx="148" cy="7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MX" sz="1100" b="0" i="0" u="none" strike="noStrike" baseline="0">
                <a:solidFill>
                  <a:srgbClr val="000000"/>
                </a:solidFill>
                <a:latin typeface="Century Gothic" panose="020B0502020202020204" pitchFamily="34" charset="0"/>
                <a:cs typeface="Arial"/>
              </a:rPr>
              <a:t>Cliente</a:t>
            </a:r>
          </a:p>
        </xdr:txBody>
      </xdr:sp>
      <xdr:sp macro="" textlink="">
        <xdr:nvSpPr>
          <xdr:cNvPr id="64" name="AutoShape 258">
            <a:extLst>
              <a:ext uri="{FF2B5EF4-FFF2-40B4-BE49-F238E27FC236}">
                <a16:creationId xmlns:a16="http://schemas.microsoft.com/office/drawing/2014/main" id="{5D608AFD-5489-79C6-48A0-444C36A0F65C}"/>
              </a:ext>
            </a:extLst>
          </xdr:cNvPr>
          <xdr:cNvSpPr>
            <a:spLocks noChangeArrowheads="1"/>
          </xdr:cNvSpPr>
        </xdr:nvSpPr>
        <xdr:spPr bwMode="auto">
          <a:xfrm flipH="1">
            <a:off x="385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5" name="AutoShape 259">
            <a:extLst>
              <a:ext uri="{FF2B5EF4-FFF2-40B4-BE49-F238E27FC236}">
                <a16:creationId xmlns:a16="http://schemas.microsoft.com/office/drawing/2014/main" id="{8DD8336B-AA35-C709-6792-E02CEC870FAD}"/>
              </a:ext>
            </a:extLst>
          </xdr:cNvPr>
          <xdr:cNvSpPr>
            <a:spLocks noChangeArrowheads="1"/>
          </xdr:cNvSpPr>
        </xdr:nvSpPr>
        <xdr:spPr bwMode="auto">
          <a:xfrm flipH="1">
            <a:off x="36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6" name="AutoShape 260">
            <a:extLst>
              <a:ext uri="{FF2B5EF4-FFF2-40B4-BE49-F238E27FC236}">
                <a16:creationId xmlns:a16="http://schemas.microsoft.com/office/drawing/2014/main" id="{3A9D2AC6-22B1-28DA-FBE3-CFF777ABFB37}"/>
              </a:ext>
            </a:extLst>
          </xdr:cNvPr>
          <xdr:cNvSpPr>
            <a:spLocks noChangeArrowheads="1"/>
          </xdr:cNvSpPr>
        </xdr:nvSpPr>
        <xdr:spPr bwMode="auto">
          <a:xfrm flipH="1">
            <a:off x="338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7" name="AutoShape 261">
            <a:extLst>
              <a:ext uri="{FF2B5EF4-FFF2-40B4-BE49-F238E27FC236}">
                <a16:creationId xmlns:a16="http://schemas.microsoft.com/office/drawing/2014/main" id="{691C81E3-4097-DB0E-FAB3-E28044B16024}"/>
              </a:ext>
            </a:extLst>
          </xdr:cNvPr>
          <xdr:cNvSpPr>
            <a:spLocks noChangeArrowheads="1"/>
          </xdr:cNvSpPr>
        </xdr:nvSpPr>
        <xdr:spPr bwMode="auto">
          <a:xfrm flipH="1">
            <a:off x="313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8" name="AutoShape 262">
            <a:extLst>
              <a:ext uri="{FF2B5EF4-FFF2-40B4-BE49-F238E27FC236}">
                <a16:creationId xmlns:a16="http://schemas.microsoft.com/office/drawing/2014/main" id="{0D8DA200-D656-A8EE-036E-3BDA3374C8CB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1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69" name="AutoShape 263">
            <a:extLst>
              <a:ext uri="{FF2B5EF4-FFF2-40B4-BE49-F238E27FC236}">
                <a16:creationId xmlns:a16="http://schemas.microsoft.com/office/drawing/2014/main" id="{4BE6C242-FB5B-BA8F-F3A2-8A88938355E8}"/>
              </a:ext>
            </a:extLst>
          </xdr:cNvPr>
          <xdr:cNvSpPr>
            <a:spLocks noChangeArrowheads="1"/>
          </xdr:cNvSpPr>
        </xdr:nvSpPr>
        <xdr:spPr bwMode="auto">
          <a:xfrm flipH="1">
            <a:off x="267" y="335"/>
            <a:ext cx="32" cy="16"/>
          </a:xfrm>
          <a:prstGeom prst="rtTriangle">
            <a:avLst/>
          </a:prstGeom>
          <a:solidFill>
            <a:srgbClr xmlns:mc="http://schemas.openxmlformats.org/markup-compatibility/2006" xmlns:a14="http://schemas.microsoft.com/office/drawing/2010/main" val="CCFFFF" mc:Ignorable="a14" a14:legacySpreadsheetColorIndex="4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13</xdr:col>
      <xdr:colOff>0</xdr:colOff>
      <xdr:row>2</xdr:row>
      <xdr:rowOff>0</xdr:rowOff>
    </xdr:from>
    <xdr:to>
      <xdr:col>13</xdr:col>
      <xdr:colOff>152400</xdr:colOff>
      <xdr:row>3</xdr:row>
      <xdr:rowOff>83820</xdr:rowOff>
    </xdr:to>
    <xdr:grpSp>
      <xdr:nvGrpSpPr>
        <xdr:cNvPr id="70" name="Group 3">
          <a:extLst>
            <a:ext uri="{FF2B5EF4-FFF2-40B4-BE49-F238E27FC236}">
              <a16:creationId xmlns:a16="http://schemas.microsoft.com/office/drawing/2014/main" id="{CE5BCE6A-8C5A-4D0C-BB04-BA2A0F457DD7}"/>
            </a:ext>
          </a:extLst>
        </xdr:cNvPr>
        <xdr:cNvGrpSpPr>
          <a:grpSpLocks/>
        </xdr:cNvGrpSpPr>
      </xdr:nvGrpSpPr>
      <xdr:grpSpPr bwMode="auto">
        <a:xfrm>
          <a:off x="10378440" y="342900"/>
          <a:ext cx="152400" cy="251460"/>
          <a:chOff x="572" y="516"/>
          <a:chExt cx="44" cy="130"/>
        </a:xfrm>
      </xdr:grpSpPr>
      <xdr:cxnSp macro="">
        <xdr:nvCxnSpPr>
          <xdr:cNvPr id="71" name="AutoShape 4">
            <a:extLst>
              <a:ext uri="{FF2B5EF4-FFF2-40B4-BE49-F238E27FC236}">
                <a16:creationId xmlns:a16="http://schemas.microsoft.com/office/drawing/2014/main" id="{8F0A94C0-9619-154D-B4AA-E878F4C4FC59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614" y="517"/>
            <a:ext cx="1" cy="129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2" name="AutoShape 5">
            <a:extLst>
              <a:ext uri="{FF2B5EF4-FFF2-40B4-BE49-F238E27FC236}">
                <a16:creationId xmlns:a16="http://schemas.microsoft.com/office/drawing/2014/main" id="{2EB3A686-99A7-5964-A0BE-DC244DB4F02D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3" name="AutoShape 6">
            <a:extLst>
              <a:ext uri="{FF2B5EF4-FFF2-40B4-BE49-F238E27FC236}">
                <a16:creationId xmlns:a16="http://schemas.microsoft.com/office/drawing/2014/main" id="{CA153E6B-F0B2-BA2B-755E-878F791DDC5B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16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4" name="AutoShape 7">
            <a:extLst>
              <a:ext uri="{FF2B5EF4-FFF2-40B4-BE49-F238E27FC236}">
                <a16:creationId xmlns:a16="http://schemas.microsoft.com/office/drawing/2014/main" id="{0A20AFD2-261F-8989-DFB3-278FC002E7F8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558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5" name="AutoShape 8">
            <a:extLst>
              <a:ext uri="{FF2B5EF4-FFF2-40B4-BE49-F238E27FC236}">
                <a16:creationId xmlns:a16="http://schemas.microsoft.com/office/drawing/2014/main" id="{FB846C06-C79A-99A7-7AE2-5BCD036D2C39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2" y="602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76" name="AutoShape 9">
            <a:extLst>
              <a:ext uri="{FF2B5EF4-FFF2-40B4-BE49-F238E27FC236}">
                <a16:creationId xmlns:a16="http://schemas.microsoft.com/office/drawing/2014/main" id="{8E0A9EDD-B4AF-2B7D-B6D2-75402A269B0D}"/>
              </a:ext>
            </a:extLst>
          </xdr:cNvPr>
          <xdr:cNvCxnSpPr>
            <a:cxnSpLocks noChangeShapeType="1"/>
          </xdr:cNvCxnSpPr>
        </xdr:nvCxnSpPr>
        <xdr:spPr bwMode="auto">
          <a:xfrm flipH="1">
            <a:off x="573" y="644"/>
            <a:ext cx="43" cy="0"/>
          </a:xfrm>
          <a:prstGeom prst="straightConnector1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10</xdr:col>
      <xdr:colOff>236220</xdr:colOff>
      <xdr:row>5</xdr:row>
      <xdr:rowOff>68580</xdr:rowOff>
    </xdr:from>
    <xdr:to>
      <xdr:col>11</xdr:col>
      <xdr:colOff>251460</xdr:colOff>
      <xdr:row>7</xdr:row>
      <xdr:rowOff>0</xdr:rowOff>
    </xdr:to>
    <xdr:grpSp>
      <xdr:nvGrpSpPr>
        <xdr:cNvPr id="77" name="Group 46">
          <a:extLst>
            <a:ext uri="{FF2B5EF4-FFF2-40B4-BE49-F238E27FC236}">
              <a16:creationId xmlns:a16="http://schemas.microsoft.com/office/drawing/2014/main" id="{331A877E-8E45-46A6-828E-ACA0D91FF3D6}"/>
            </a:ext>
          </a:extLst>
        </xdr:cNvPr>
        <xdr:cNvGrpSpPr>
          <a:grpSpLocks/>
        </xdr:cNvGrpSpPr>
      </xdr:nvGrpSpPr>
      <xdr:grpSpPr bwMode="auto">
        <a:xfrm flipH="1">
          <a:off x="8435340" y="914400"/>
          <a:ext cx="883920" cy="266700"/>
          <a:chOff x="216" y="418"/>
          <a:chExt cx="71" cy="51"/>
        </a:xfrm>
      </xdr:grpSpPr>
      <xdr:sp macro="" textlink="">
        <xdr:nvSpPr>
          <xdr:cNvPr id="78" name="Rectangle 47">
            <a:extLst>
              <a:ext uri="{FF2B5EF4-FFF2-40B4-BE49-F238E27FC236}">
                <a16:creationId xmlns:a16="http://schemas.microsoft.com/office/drawing/2014/main" id="{588881C0-4143-E0FD-5E8C-258BCFF4D136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9" name="Rectangle 48">
            <a:extLst>
              <a:ext uri="{FF2B5EF4-FFF2-40B4-BE49-F238E27FC236}">
                <a16:creationId xmlns:a16="http://schemas.microsoft.com/office/drawing/2014/main" id="{B5DE77B2-CD13-DAD5-006C-6D239B3B22F0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0" name="AutoShape 49">
            <a:extLst>
              <a:ext uri="{FF2B5EF4-FFF2-40B4-BE49-F238E27FC236}">
                <a16:creationId xmlns:a16="http://schemas.microsoft.com/office/drawing/2014/main" id="{A375FEE6-288F-94AB-C354-2AB99F93E0FC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1" name="AutoShape 50">
            <a:extLst>
              <a:ext uri="{FF2B5EF4-FFF2-40B4-BE49-F238E27FC236}">
                <a16:creationId xmlns:a16="http://schemas.microsoft.com/office/drawing/2014/main" id="{6122569F-25D1-A33A-7A57-2954A31D1AFF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2" name="AutoShape 51">
            <a:extLst>
              <a:ext uri="{FF2B5EF4-FFF2-40B4-BE49-F238E27FC236}">
                <a16:creationId xmlns:a16="http://schemas.microsoft.com/office/drawing/2014/main" id="{D3D5B561-2FF2-F9CA-B413-2F4969472BFB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3" name="AutoShape 52">
            <a:extLst>
              <a:ext uri="{FF2B5EF4-FFF2-40B4-BE49-F238E27FC236}">
                <a16:creationId xmlns:a16="http://schemas.microsoft.com/office/drawing/2014/main" id="{4F0483C3-86D4-D31E-E39C-D6B4581B0B19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4" name="AutoShape 53">
            <a:extLst>
              <a:ext uri="{FF2B5EF4-FFF2-40B4-BE49-F238E27FC236}">
                <a16:creationId xmlns:a16="http://schemas.microsoft.com/office/drawing/2014/main" id="{17D131EF-18C7-2802-CDE6-2B538B8F32B0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0</xdr:colOff>
      <xdr:row>4</xdr:row>
      <xdr:rowOff>0</xdr:rowOff>
    </xdr:from>
    <xdr:to>
      <xdr:col>13</xdr:col>
      <xdr:colOff>333375</xdr:colOff>
      <xdr:row>5</xdr:row>
      <xdr:rowOff>34290</xdr:rowOff>
    </xdr:to>
    <xdr:grpSp>
      <xdr:nvGrpSpPr>
        <xdr:cNvPr id="85" name="Group 39">
          <a:extLst>
            <a:ext uri="{FF2B5EF4-FFF2-40B4-BE49-F238E27FC236}">
              <a16:creationId xmlns:a16="http://schemas.microsoft.com/office/drawing/2014/main" id="{7924A0C9-B9C9-4A92-B4B0-C5C3FBD8C551}"/>
            </a:ext>
          </a:extLst>
        </xdr:cNvPr>
        <xdr:cNvGrpSpPr>
          <a:grpSpLocks/>
        </xdr:cNvGrpSpPr>
      </xdr:nvGrpSpPr>
      <xdr:grpSpPr bwMode="auto">
        <a:xfrm>
          <a:off x="10378440" y="678180"/>
          <a:ext cx="333375" cy="201930"/>
          <a:chOff x="320" y="533"/>
          <a:chExt cx="52" cy="52"/>
        </a:xfrm>
      </xdr:grpSpPr>
      <xdr:sp macro="" textlink="">
        <xdr:nvSpPr>
          <xdr:cNvPr id="86" name="Rectangle 40">
            <a:extLst>
              <a:ext uri="{FF2B5EF4-FFF2-40B4-BE49-F238E27FC236}">
                <a16:creationId xmlns:a16="http://schemas.microsoft.com/office/drawing/2014/main" id="{6E7552F9-CF6D-AD3D-E022-DA6A744D5B9C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7" name="Rectangle 41">
            <a:extLst>
              <a:ext uri="{FF2B5EF4-FFF2-40B4-BE49-F238E27FC236}">
                <a16:creationId xmlns:a16="http://schemas.microsoft.com/office/drawing/2014/main" id="{EA538075-9D9E-96DA-BDFD-148E1E9828BC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8" name="AutoShape 42">
            <a:extLst>
              <a:ext uri="{FF2B5EF4-FFF2-40B4-BE49-F238E27FC236}">
                <a16:creationId xmlns:a16="http://schemas.microsoft.com/office/drawing/2014/main" id="{287112BE-C542-3E26-308D-ADD6B8614DC0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9" name="AutoShape 43">
            <a:extLst>
              <a:ext uri="{FF2B5EF4-FFF2-40B4-BE49-F238E27FC236}">
                <a16:creationId xmlns:a16="http://schemas.microsoft.com/office/drawing/2014/main" id="{BAF7CEF8-819E-8238-69CA-D6B660F11953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0" name="AutoShape 44">
            <a:extLst>
              <a:ext uri="{FF2B5EF4-FFF2-40B4-BE49-F238E27FC236}">
                <a16:creationId xmlns:a16="http://schemas.microsoft.com/office/drawing/2014/main" id="{7082048F-D2AA-D9A4-7D1C-B2B9390ACE7B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1" name="AutoShape 45">
            <a:extLst>
              <a:ext uri="{FF2B5EF4-FFF2-40B4-BE49-F238E27FC236}">
                <a16:creationId xmlns:a16="http://schemas.microsoft.com/office/drawing/2014/main" id="{82C00C26-B86C-A2C5-5F24-F0237C4CDBCA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0</xdr:colOff>
      <xdr:row>19</xdr:row>
      <xdr:rowOff>0</xdr:rowOff>
    </xdr:from>
    <xdr:to>
      <xdr:col>5</xdr:col>
      <xdr:colOff>99060</xdr:colOff>
      <xdr:row>20</xdr:row>
      <xdr:rowOff>99060</xdr:rowOff>
    </xdr:to>
    <xdr:grpSp>
      <xdr:nvGrpSpPr>
        <xdr:cNvPr id="92" name="Group 46">
          <a:extLst>
            <a:ext uri="{FF2B5EF4-FFF2-40B4-BE49-F238E27FC236}">
              <a16:creationId xmlns:a16="http://schemas.microsoft.com/office/drawing/2014/main" id="{FB1E7203-B809-4B8A-A343-FA83AD741AB9}"/>
            </a:ext>
          </a:extLst>
        </xdr:cNvPr>
        <xdr:cNvGrpSpPr>
          <a:grpSpLocks/>
        </xdr:cNvGrpSpPr>
      </xdr:nvGrpSpPr>
      <xdr:grpSpPr bwMode="auto">
        <a:xfrm flipH="1">
          <a:off x="2354580" y="3215640"/>
          <a:ext cx="1668780" cy="266700"/>
          <a:chOff x="216" y="418"/>
          <a:chExt cx="71" cy="51"/>
        </a:xfrm>
      </xdr:grpSpPr>
      <xdr:sp macro="" textlink="">
        <xdr:nvSpPr>
          <xdr:cNvPr id="93" name="Rectangle 47">
            <a:extLst>
              <a:ext uri="{FF2B5EF4-FFF2-40B4-BE49-F238E27FC236}">
                <a16:creationId xmlns:a16="http://schemas.microsoft.com/office/drawing/2014/main" id="{913664A6-478A-7B8C-7EE1-58FCA9AAFE42}"/>
              </a:ext>
            </a:extLst>
          </xdr:cNvPr>
          <xdr:cNvSpPr>
            <a:spLocks noChangeArrowheads="1"/>
          </xdr:cNvSpPr>
        </xdr:nvSpPr>
        <xdr:spPr bwMode="auto">
          <a:xfrm>
            <a:off x="261" y="418"/>
            <a:ext cx="26" cy="4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4" name="Rectangle 48">
            <a:extLst>
              <a:ext uri="{FF2B5EF4-FFF2-40B4-BE49-F238E27FC236}">
                <a16:creationId xmlns:a16="http://schemas.microsoft.com/office/drawing/2014/main" id="{0EDF22B6-51F4-E0F1-1B45-64CB3B386885}"/>
              </a:ext>
            </a:extLst>
          </xdr:cNvPr>
          <xdr:cNvSpPr>
            <a:spLocks noChangeArrowheads="1"/>
          </xdr:cNvSpPr>
        </xdr:nvSpPr>
        <xdr:spPr bwMode="auto">
          <a:xfrm>
            <a:off x="216" y="448"/>
            <a:ext cx="45" cy="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CC99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5" name="AutoShape 49">
            <a:extLst>
              <a:ext uri="{FF2B5EF4-FFF2-40B4-BE49-F238E27FC236}">
                <a16:creationId xmlns:a16="http://schemas.microsoft.com/office/drawing/2014/main" id="{140C048F-FCF6-F489-91C7-1CF67EFE148E}"/>
              </a:ext>
            </a:extLst>
          </xdr:cNvPr>
          <xdr:cNvSpPr>
            <a:spLocks noChangeArrowheads="1"/>
          </xdr:cNvSpPr>
        </xdr:nvSpPr>
        <xdr:spPr bwMode="auto">
          <a:xfrm>
            <a:off x="220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6" name="AutoShape 50">
            <a:extLst>
              <a:ext uri="{FF2B5EF4-FFF2-40B4-BE49-F238E27FC236}">
                <a16:creationId xmlns:a16="http://schemas.microsoft.com/office/drawing/2014/main" id="{FD1F2EC2-A139-F8BE-C86C-3BF9580FA8BF}"/>
              </a:ext>
            </a:extLst>
          </xdr:cNvPr>
          <xdr:cNvSpPr>
            <a:spLocks noChangeArrowheads="1"/>
          </xdr:cNvSpPr>
        </xdr:nvSpPr>
        <xdr:spPr bwMode="auto">
          <a:xfrm>
            <a:off x="225" y="441"/>
            <a:ext cx="28" cy="6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7" name="AutoShape 51">
            <a:extLst>
              <a:ext uri="{FF2B5EF4-FFF2-40B4-BE49-F238E27FC236}">
                <a16:creationId xmlns:a16="http://schemas.microsoft.com/office/drawing/2014/main" id="{13CD7859-A016-5034-47C3-1FE50771DA4E}"/>
              </a:ext>
            </a:extLst>
          </xdr:cNvPr>
          <xdr:cNvSpPr>
            <a:spLocks noChangeArrowheads="1"/>
          </xdr:cNvSpPr>
        </xdr:nvSpPr>
        <xdr:spPr bwMode="auto">
          <a:xfrm>
            <a:off x="225" y="434"/>
            <a:ext cx="28" cy="7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8" name="AutoShape 52">
            <a:extLst>
              <a:ext uri="{FF2B5EF4-FFF2-40B4-BE49-F238E27FC236}">
                <a16:creationId xmlns:a16="http://schemas.microsoft.com/office/drawing/2014/main" id="{547FC0BF-739B-41D0-78B6-10C06D63E08F}"/>
              </a:ext>
            </a:extLst>
          </xdr:cNvPr>
          <xdr:cNvSpPr>
            <a:spLocks noChangeArrowheads="1"/>
          </xdr:cNvSpPr>
        </xdr:nvSpPr>
        <xdr:spPr bwMode="auto">
          <a:xfrm>
            <a:off x="241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9" name="AutoShape 53">
            <a:extLst>
              <a:ext uri="{FF2B5EF4-FFF2-40B4-BE49-F238E27FC236}">
                <a16:creationId xmlns:a16="http://schemas.microsoft.com/office/drawing/2014/main" id="{A541EE35-22F9-68FE-38A8-3699960ECA1A}"/>
              </a:ext>
            </a:extLst>
          </xdr:cNvPr>
          <xdr:cNvSpPr>
            <a:spLocks noChangeArrowheads="1"/>
          </xdr:cNvSpPr>
        </xdr:nvSpPr>
        <xdr:spPr bwMode="auto">
          <a:xfrm>
            <a:off x="265" y="454"/>
            <a:ext cx="15" cy="15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880 w 21600"/>
              <a:gd name="T25" fmla="*/ 2880 h 21600"/>
              <a:gd name="T26" fmla="*/ 18720 w 21600"/>
              <a:gd name="T27" fmla="*/ 18720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114300</xdr:colOff>
      <xdr:row>4</xdr:row>
      <xdr:rowOff>60960</xdr:rowOff>
    </xdr:from>
    <xdr:to>
      <xdr:col>14</xdr:col>
      <xdr:colOff>476250</xdr:colOff>
      <xdr:row>5</xdr:row>
      <xdr:rowOff>102870</xdr:rowOff>
    </xdr:to>
    <xdr:grpSp>
      <xdr:nvGrpSpPr>
        <xdr:cNvPr id="100" name="Group 60">
          <a:extLst>
            <a:ext uri="{FF2B5EF4-FFF2-40B4-BE49-F238E27FC236}">
              <a16:creationId xmlns:a16="http://schemas.microsoft.com/office/drawing/2014/main" id="{B9D88C4E-18CC-4EE7-BD73-93FDB66375DF}"/>
            </a:ext>
          </a:extLst>
        </xdr:cNvPr>
        <xdr:cNvGrpSpPr>
          <a:grpSpLocks/>
        </xdr:cNvGrpSpPr>
      </xdr:nvGrpSpPr>
      <xdr:grpSpPr bwMode="auto">
        <a:xfrm>
          <a:off x="11277600" y="739140"/>
          <a:ext cx="361950" cy="209550"/>
          <a:chOff x="1860" y="222"/>
          <a:chExt cx="159" cy="139"/>
        </a:xfrm>
      </xdr:grpSpPr>
      <xdr:sp macro="" textlink="">
        <xdr:nvSpPr>
          <xdr:cNvPr id="101" name="AutoShape 61">
            <a:extLst>
              <a:ext uri="{FF2B5EF4-FFF2-40B4-BE49-F238E27FC236}">
                <a16:creationId xmlns:a16="http://schemas.microsoft.com/office/drawing/2014/main" id="{09CEB5D0-E74A-053D-A85E-7939EAFD5852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2" name="Line 62">
            <a:extLst>
              <a:ext uri="{FF2B5EF4-FFF2-40B4-BE49-F238E27FC236}">
                <a16:creationId xmlns:a16="http://schemas.microsoft.com/office/drawing/2014/main" id="{F39D735E-37C1-9DBD-74D3-D1E1D11AD457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3" name="Line 63">
            <a:extLst>
              <a:ext uri="{FF2B5EF4-FFF2-40B4-BE49-F238E27FC236}">
                <a16:creationId xmlns:a16="http://schemas.microsoft.com/office/drawing/2014/main" id="{CC8FBC65-9A0F-7EDE-10FC-55B7967C6B93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04" name="Line 64">
            <a:extLst>
              <a:ext uri="{FF2B5EF4-FFF2-40B4-BE49-F238E27FC236}">
                <a16:creationId xmlns:a16="http://schemas.microsoft.com/office/drawing/2014/main" id="{235D6BAF-2D4A-0BC0-B8FD-D3068288C1C3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411480</xdr:colOff>
      <xdr:row>59</xdr:row>
      <xdr:rowOff>100966</xdr:rowOff>
    </xdr:from>
    <xdr:to>
      <xdr:col>15</xdr:col>
      <xdr:colOff>62865</xdr:colOff>
      <xdr:row>63</xdr:row>
      <xdr:rowOff>40006</xdr:rowOff>
    </xdr:to>
    <xdr:sp macro="" textlink="">
      <xdr:nvSpPr>
        <xdr:cNvPr id="105" name="AutoShape 236">
          <a:extLst>
            <a:ext uri="{FF2B5EF4-FFF2-40B4-BE49-F238E27FC236}">
              <a16:creationId xmlns:a16="http://schemas.microsoft.com/office/drawing/2014/main" id="{01FFA094-BFAE-4FAF-8660-9DE0BDD401A4}"/>
            </a:ext>
          </a:extLst>
        </xdr:cNvPr>
        <xdr:cNvSpPr>
          <a:spLocks noChangeArrowheads="1"/>
        </xdr:cNvSpPr>
      </xdr:nvSpPr>
      <xdr:spPr bwMode="auto">
        <a:xfrm rot="5400000">
          <a:off x="11400473" y="10646093"/>
          <a:ext cx="784860" cy="43624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3</xdr:col>
      <xdr:colOff>148006</xdr:colOff>
      <xdr:row>69</xdr:row>
      <xdr:rowOff>38100</xdr:rowOff>
    </xdr:from>
    <xdr:to>
      <xdr:col>3</xdr:col>
      <xdr:colOff>535400</xdr:colOff>
      <xdr:row>85</xdr:row>
      <xdr:rowOff>167582</xdr:rowOff>
    </xdr:to>
    <xdr:sp macro="" textlink="">
      <xdr:nvSpPr>
        <xdr:cNvPr id="106" name="AutoShape 235">
          <a:extLst>
            <a:ext uri="{FF2B5EF4-FFF2-40B4-BE49-F238E27FC236}">
              <a16:creationId xmlns:a16="http://schemas.microsoft.com/office/drawing/2014/main" id="{72F1594C-DCD4-4F4A-ACE3-F51022469638}"/>
            </a:ext>
          </a:extLst>
        </xdr:cNvPr>
        <xdr:cNvSpPr>
          <a:spLocks noChangeArrowheads="1"/>
        </xdr:cNvSpPr>
      </xdr:nvSpPr>
      <xdr:spPr bwMode="auto">
        <a:xfrm rot="16200000">
          <a:off x="1153262" y="13678484"/>
          <a:ext cx="3086042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0</xdr:colOff>
      <xdr:row>69</xdr:row>
      <xdr:rowOff>15240</xdr:rowOff>
    </xdr:from>
    <xdr:to>
      <xdr:col>2</xdr:col>
      <xdr:colOff>342900</xdr:colOff>
      <xdr:row>94</xdr:row>
      <xdr:rowOff>160020</xdr:rowOff>
    </xdr:to>
    <xdr:sp macro="" textlink="">
      <xdr:nvSpPr>
        <xdr:cNvPr id="107" name="AutoShape 235">
          <a:extLst>
            <a:ext uri="{FF2B5EF4-FFF2-40B4-BE49-F238E27FC236}">
              <a16:creationId xmlns:a16="http://schemas.microsoft.com/office/drawing/2014/main" id="{599E4B3B-BA41-45FB-81E4-69D07A1C82FC}"/>
            </a:ext>
          </a:extLst>
        </xdr:cNvPr>
        <xdr:cNvSpPr>
          <a:spLocks noChangeArrowheads="1"/>
        </xdr:cNvSpPr>
      </xdr:nvSpPr>
      <xdr:spPr bwMode="auto">
        <a:xfrm rot="5400000">
          <a:off x="-601980" y="14478000"/>
          <a:ext cx="4686300" cy="34290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91440</xdr:colOff>
      <xdr:row>94</xdr:row>
      <xdr:rowOff>65383</xdr:rowOff>
    </xdr:from>
    <xdr:to>
      <xdr:col>18</xdr:col>
      <xdr:colOff>495300</xdr:colOff>
      <xdr:row>96</xdr:row>
      <xdr:rowOff>117497</xdr:rowOff>
    </xdr:to>
    <xdr:sp macro="" textlink="">
      <xdr:nvSpPr>
        <xdr:cNvPr id="108" name="AutoShape 235">
          <a:extLst>
            <a:ext uri="{FF2B5EF4-FFF2-40B4-BE49-F238E27FC236}">
              <a16:creationId xmlns:a16="http://schemas.microsoft.com/office/drawing/2014/main" id="{DAC1A3D0-B162-4B67-939D-CC1112BF5727}"/>
            </a:ext>
          </a:extLst>
        </xdr:cNvPr>
        <xdr:cNvSpPr>
          <a:spLocks noChangeArrowheads="1"/>
        </xdr:cNvSpPr>
      </xdr:nvSpPr>
      <xdr:spPr bwMode="auto">
        <a:xfrm>
          <a:off x="1661160" y="16897963"/>
          <a:ext cx="13136880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121920</xdr:colOff>
      <xdr:row>84</xdr:row>
      <xdr:rowOff>22860</xdr:rowOff>
    </xdr:from>
    <xdr:to>
      <xdr:col>18</xdr:col>
      <xdr:colOff>509314</xdr:colOff>
      <xdr:row>96</xdr:row>
      <xdr:rowOff>53340</xdr:rowOff>
    </xdr:to>
    <xdr:sp macro="" textlink="">
      <xdr:nvSpPr>
        <xdr:cNvPr id="109" name="AutoShape 235">
          <a:extLst>
            <a:ext uri="{FF2B5EF4-FFF2-40B4-BE49-F238E27FC236}">
              <a16:creationId xmlns:a16="http://schemas.microsoft.com/office/drawing/2014/main" id="{6C23D4BD-6713-4F06-89A6-909FB1AE2C24}"/>
            </a:ext>
          </a:extLst>
        </xdr:cNvPr>
        <xdr:cNvSpPr>
          <a:spLocks noChangeArrowheads="1"/>
        </xdr:cNvSpPr>
      </xdr:nvSpPr>
      <xdr:spPr bwMode="auto">
        <a:xfrm rot="16200000">
          <a:off x="13528697" y="15937843"/>
          <a:ext cx="2179320" cy="387394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18</xdr:col>
      <xdr:colOff>30480</xdr:colOff>
      <xdr:row>87</xdr:row>
      <xdr:rowOff>160020</xdr:rowOff>
    </xdr:from>
    <xdr:to>
      <xdr:col>20</xdr:col>
      <xdr:colOff>7620</xdr:colOff>
      <xdr:row>90</xdr:row>
      <xdr:rowOff>3810</xdr:rowOff>
    </xdr:to>
    <xdr:sp macro="" textlink="">
      <xdr:nvSpPr>
        <xdr:cNvPr id="110" name="AutoShape 235">
          <a:extLst>
            <a:ext uri="{FF2B5EF4-FFF2-40B4-BE49-F238E27FC236}">
              <a16:creationId xmlns:a16="http://schemas.microsoft.com/office/drawing/2014/main" id="{57F1AF30-2C80-41D0-90B1-8BC2C2846F13}"/>
            </a:ext>
          </a:extLst>
        </xdr:cNvPr>
        <xdr:cNvSpPr>
          <a:spLocks noChangeArrowheads="1"/>
        </xdr:cNvSpPr>
      </xdr:nvSpPr>
      <xdr:spPr bwMode="auto">
        <a:xfrm>
          <a:off x="14333220" y="15803880"/>
          <a:ext cx="1546860" cy="35433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98</xdr:row>
      <xdr:rowOff>0</xdr:rowOff>
    </xdr:from>
    <xdr:to>
      <xdr:col>13</xdr:col>
      <xdr:colOff>0</xdr:colOff>
      <xdr:row>99</xdr:row>
      <xdr:rowOff>125730</xdr:rowOff>
    </xdr:to>
    <xdr:sp macro="" textlink="">
      <xdr:nvSpPr>
        <xdr:cNvPr id="111" name="AutoShape 235">
          <a:extLst>
            <a:ext uri="{FF2B5EF4-FFF2-40B4-BE49-F238E27FC236}">
              <a16:creationId xmlns:a16="http://schemas.microsoft.com/office/drawing/2014/main" id="{BE123353-24BF-4B60-B13C-0EDE27CC62C8}"/>
            </a:ext>
          </a:extLst>
        </xdr:cNvPr>
        <xdr:cNvSpPr>
          <a:spLocks noChangeArrowheads="1"/>
        </xdr:cNvSpPr>
      </xdr:nvSpPr>
      <xdr:spPr bwMode="auto">
        <a:xfrm>
          <a:off x="9593580" y="175641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455295</xdr:colOff>
      <xdr:row>80</xdr:row>
      <xdr:rowOff>106680</xdr:rowOff>
    </xdr:from>
    <xdr:to>
      <xdr:col>13</xdr:col>
      <xdr:colOff>17145</xdr:colOff>
      <xdr:row>99</xdr:row>
      <xdr:rowOff>17145</xdr:rowOff>
    </xdr:to>
    <xdr:sp macro="" textlink="">
      <xdr:nvSpPr>
        <xdr:cNvPr id="112" name="AutoShape 235">
          <a:extLst>
            <a:ext uri="{FF2B5EF4-FFF2-40B4-BE49-F238E27FC236}">
              <a16:creationId xmlns:a16="http://schemas.microsoft.com/office/drawing/2014/main" id="{98CCC0F5-C256-4FAB-8C20-06B70F539C5B}"/>
            </a:ext>
          </a:extLst>
        </xdr:cNvPr>
        <xdr:cNvSpPr>
          <a:spLocks noChangeArrowheads="1"/>
        </xdr:cNvSpPr>
      </xdr:nvSpPr>
      <xdr:spPr bwMode="auto">
        <a:xfrm rot="16200000">
          <a:off x="8541067" y="15947708"/>
          <a:ext cx="336232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594360</xdr:colOff>
      <xdr:row>80</xdr:row>
      <xdr:rowOff>60960</xdr:rowOff>
    </xdr:from>
    <xdr:to>
      <xdr:col>13</xdr:col>
      <xdr:colOff>754380</xdr:colOff>
      <xdr:row>82</xdr:row>
      <xdr:rowOff>72390</xdr:rowOff>
    </xdr:to>
    <xdr:sp macro="" textlink="">
      <xdr:nvSpPr>
        <xdr:cNvPr id="113" name="AutoShape 235">
          <a:extLst>
            <a:ext uri="{FF2B5EF4-FFF2-40B4-BE49-F238E27FC236}">
              <a16:creationId xmlns:a16="http://schemas.microsoft.com/office/drawing/2014/main" id="{291407DA-A966-49A4-A33B-8E2A744D6539}"/>
            </a:ext>
          </a:extLst>
        </xdr:cNvPr>
        <xdr:cNvSpPr>
          <a:spLocks noChangeArrowheads="1"/>
        </xdr:cNvSpPr>
      </xdr:nvSpPr>
      <xdr:spPr bwMode="auto">
        <a:xfrm>
          <a:off x="10187940" y="14394180"/>
          <a:ext cx="9448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88</xdr:row>
      <xdr:rowOff>0</xdr:rowOff>
    </xdr:from>
    <xdr:to>
      <xdr:col>13</xdr:col>
      <xdr:colOff>0</xdr:colOff>
      <xdr:row>90</xdr:row>
      <xdr:rowOff>3810</xdr:rowOff>
    </xdr:to>
    <xdr:sp macro="" textlink="">
      <xdr:nvSpPr>
        <xdr:cNvPr id="114" name="AutoShape 235">
          <a:extLst>
            <a:ext uri="{FF2B5EF4-FFF2-40B4-BE49-F238E27FC236}">
              <a16:creationId xmlns:a16="http://schemas.microsoft.com/office/drawing/2014/main" id="{1B7BA325-79D2-43E5-929C-7EBB2F694939}"/>
            </a:ext>
          </a:extLst>
        </xdr:cNvPr>
        <xdr:cNvSpPr>
          <a:spLocks noChangeArrowheads="1"/>
        </xdr:cNvSpPr>
      </xdr:nvSpPr>
      <xdr:spPr bwMode="auto">
        <a:xfrm>
          <a:off x="9593580" y="15811500"/>
          <a:ext cx="7848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75</xdr:row>
      <xdr:rowOff>0</xdr:rowOff>
    </xdr:from>
    <xdr:to>
      <xdr:col>13</xdr:col>
      <xdr:colOff>746760</xdr:colOff>
      <xdr:row>77</xdr:row>
      <xdr:rowOff>3810</xdr:rowOff>
    </xdr:to>
    <xdr:sp macro="" textlink="">
      <xdr:nvSpPr>
        <xdr:cNvPr id="115" name="AutoShape 235">
          <a:extLst>
            <a:ext uri="{FF2B5EF4-FFF2-40B4-BE49-F238E27FC236}">
              <a16:creationId xmlns:a16="http://schemas.microsoft.com/office/drawing/2014/main" id="{6F457508-AC70-411D-90CC-74A15BDB9D6B}"/>
            </a:ext>
          </a:extLst>
        </xdr:cNvPr>
        <xdr:cNvSpPr>
          <a:spLocks noChangeArrowheads="1"/>
        </xdr:cNvSpPr>
      </xdr:nvSpPr>
      <xdr:spPr bwMode="auto">
        <a:xfrm>
          <a:off x="9593580" y="13426440"/>
          <a:ext cx="1531620" cy="40767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62</xdr:row>
      <xdr:rowOff>0</xdr:rowOff>
    </xdr:from>
    <xdr:to>
      <xdr:col>18</xdr:col>
      <xdr:colOff>502920</xdr:colOff>
      <xdr:row>63</xdr:row>
      <xdr:rowOff>118110</xdr:rowOff>
    </xdr:to>
    <xdr:sp macro="" textlink="">
      <xdr:nvSpPr>
        <xdr:cNvPr id="116" name="AutoShape 235">
          <a:extLst>
            <a:ext uri="{FF2B5EF4-FFF2-40B4-BE49-F238E27FC236}">
              <a16:creationId xmlns:a16="http://schemas.microsoft.com/office/drawing/2014/main" id="{C349DD74-EA37-47C0-8C6C-A5254BB2D122}"/>
            </a:ext>
          </a:extLst>
        </xdr:cNvPr>
        <xdr:cNvSpPr>
          <a:spLocks noChangeArrowheads="1"/>
        </xdr:cNvSpPr>
      </xdr:nvSpPr>
      <xdr:spPr bwMode="auto">
        <a:xfrm>
          <a:off x="9593580" y="10988040"/>
          <a:ext cx="521208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12</xdr:col>
      <xdr:colOff>0</xdr:colOff>
      <xdr:row>38</xdr:row>
      <xdr:rowOff>0</xdr:rowOff>
    </xdr:from>
    <xdr:to>
      <xdr:col>16</xdr:col>
      <xdr:colOff>723900</xdr:colOff>
      <xdr:row>40</xdr:row>
      <xdr:rowOff>11430</xdr:rowOff>
    </xdr:to>
    <xdr:sp macro="" textlink="">
      <xdr:nvSpPr>
        <xdr:cNvPr id="117" name="AutoShape 235">
          <a:extLst>
            <a:ext uri="{FF2B5EF4-FFF2-40B4-BE49-F238E27FC236}">
              <a16:creationId xmlns:a16="http://schemas.microsoft.com/office/drawing/2014/main" id="{DE1A3142-CCE3-4412-858E-50FBBFB02CBD}"/>
            </a:ext>
          </a:extLst>
        </xdr:cNvPr>
        <xdr:cNvSpPr>
          <a:spLocks noChangeArrowheads="1"/>
        </xdr:cNvSpPr>
      </xdr:nvSpPr>
      <xdr:spPr bwMode="auto">
        <a:xfrm>
          <a:off x="9593580" y="6697980"/>
          <a:ext cx="386334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16</xdr:col>
      <xdr:colOff>501015</xdr:colOff>
      <xdr:row>38</xdr:row>
      <xdr:rowOff>139064</xdr:rowOff>
    </xdr:from>
    <xdr:to>
      <xdr:col>17</xdr:col>
      <xdr:colOff>62865</xdr:colOff>
      <xdr:row>62</xdr:row>
      <xdr:rowOff>106679</xdr:rowOff>
    </xdr:to>
    <xdr:sp macro="" textlink="">
      <xdr:nvSpPr>
        <xdr:cNvPr id="118" name="AutoShape 235">
          <a:extLst>
            <a:ext uri="{FF2B5EF4-FFF2-40B4-BE49-F238E27FC236}">
              <a16:creationId xmlns:a16="http://schemas.microsoft.com/office/drawing/2014/main" id="{30E70915-410E-4A1E-ADCD-BF1B7C3715A8}"/>
            </a:ext>
          </a:extLst>
        </xdr:cNvPr>
        <xdr:cNvSpPr>
          <a:spLocks noChangeArrowheads="1"/>
        </xdr:cNvSpPr>
      </xdr:nvSpPr>
      <xdr:spPr bwMode="auto">
        <a:xfrm rot="5400000">
          <a:off x="11278552" y="8792527"/>
          <a:ext cx="425767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7</xdr:col>
      <xdr:colOff>912495</xdr:colOff>
      <xdr:row>21</xdr:row>
      <xdr:rowOff>7621</xdr:rowOff>
    </xdr:from>
    <xdr:to>
      <xdr:col>8</xdr:col>
      <xdr:colOff>123825</xdr:colOff>
      <xdr:row>36</xdr:row>
      <xdr:rowOff>123826</xdr:rowOff>
    </xdr:to>
    <xdr:sp macro="" textlink="">
      <xdr:nvSpPr>
        <xdr:cNvPr id="119" name="AutoShape 235">
          <a:extLst>
            <a:ext uri="{FF2B5EF4-FFF2-40B4-BE49-F238E27FC236}">
              <a16:creationId xmlns:a16="http://schemas.microsoft.com/office/drawing/2014/main" id="{D73203E3-603B-43FA-90FE-B883B0031C44}"/>
            </a:ext>
          </a:extLst>
        </xdr:cNvPr>
        <xdr:cNvSpPr>
          <a:spLocks noChangeArrowheads="1"/>
        </xdr:cNvSpPr>
      </xdr:nvSpPr>
      <xdr:spPr bwMode="auto">
        <a:xfrm rot="5400000">
          <a:off x="5150167" y="4822509"/>
          <a:ext cx="2859405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6</xdr:col>
      <xdr:colOff>243840</xdr:colOff>
      <xdr:row>21</xdr:row>
      <xdr:rowOff>15240</xdr:rowOff>
    </xdr:from>
    <xdr:to>
      <xdr:col>6</xdr:col>
      <xdr:colOff>590550</xdr:colOff>
      <xdr:row>63</xdr:row>
      <xdr:rowOff>114300</xdr:rowOff>
    </xdr:to>
    <xdr:sp macro="" textlink="">
      <xdr:nvSpPr>
        <xdr:cNvPr id="120" name="AutoShape 235">
          <a:extLst>
            <a:ext uri="{FF2B5EF4-FFF2-40B4-BE49-F238E27FC236}">
              <a16:creationId xmlns:a16="http://schemas.microsoft.com/office/drawing/2014/main" id="{51FF4276-0040-451A-BC64-D97484E85C9E}"/>
            </a:ext>
          </a:extLst>
        </xdr:cNvPr>
        <xdr:cNvSpPr>
          <a:spLocks noChangeArrowheads="1"/>
        </xdr:cNvSpPr>
      </xdr:nvSpPr>
      <xdr:spPr bwMode="auto">
        <a:xfrm rot="5400000">
          <a:off x="1247775" y="7279005"/>
          <a:ext cx="77571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5</xdr:col>
      <xdr:colOff>601980</xdr:colOff>
      <xdr:row>21</xdr:row>
      <xdr:rowOff>45720</xdr:rowOff>
    </xdr:from>
    <xdr:to>
      <xdr:col>6</xdr:col>
      <xdr:colOff>163830</xdr:colOff>
      <xdr:row>74</xdr:row>
      <xdr:rowOff>205740</xdr:rowOff>
    </xdr:to>
    <xdr:sp macro="" textlink="">
      <xdr:nvSpPr>
        <xdr:cNvPr id="121" name="AutoShape 235">
          <a:extLst>
            <a:ext uri="{FF2B5EF4-FFF2-40B4-BE49-F238E27FC236}">
              <a16:creationId xmlns:a16="http://schemas.microsoft.com/office/drawing/2014/main" id="{8E8A7F00-0EB9-474E-B9ED-B4FAD910AC45}"/>
            </a:ext>
          </a:extLst>
        </xdr:cNvPr>
        <xdr:cNvSpPr>
          <a:spLocks noChangeArrowheads="1"/>
        </xdr:cNvSpPr>
      </xdr:nvSpPr>
      <xdr:spPr bwMode="auto">
        <a:xfrm rot="5400000">
          <a:off x="-203835" y="8334375"/>
          <a:ext cx="980694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731520</xdr:colOff>
      <xdr:row>20</xdr:row>
      <xdr:rowOff>53340</xdr:rowOff>
    </xdr:from>
    <xdr:to>
      <xdr:col>1</xdr:col>
      <xdr:colOff>293370</xdr:colOff>
      <xdr:row>98</xdr:row>
      <xdr:rowOff>144780</xdr:rowOff>
    </xdr:to>
    <xdr:sp macro="" textlink="">
      <xdr:nvSpPr>
        <xdr:cNvPr id="122" name="AutoShape 235">
          <a:extLst>
            <a:ext uri="{FF2B5EF4-FFF2-40B4-BE49-F238E27FC236}">
              <a16:creationId xmlns:a16="http://schemas.microsoft.com/office/drawing/2014/main" id="{EE2EA1C2-3D4A-4085-81EE-79A73ED16DE0}"/>
            </a:ext>
          </a:extLst>
        </xdr:cNvPr>
        <xdr:cNvSpPr>
          <a:spLocks noChangeArrowheads="1"/>
        </xdr:cNvSpPr>
      </xdr:nvSpPr>
      <xdr:spPr bwMode="auto">
        <a:xfrm rot="5400000">
          <a:off x="-6231255" y="10399395"/>
          <a:ext cx="14272260" cy="346710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7620</xdr:colOff>
      <xdr:row>70</xdr:row>
      <xdr:rowOff>1</xdr:rowOff>
    </xdr:from>
    <xdr:to>
      <xdr:col>21</xdr:col>
      <xdr:colOff>769620</xdr:colOff>
      <xdr:row>71</xdr:row>
      <xdr:rowOff>1</xdr:rowOff>
    </xdr:to>
    <xdr:sp macro="" textlink="">
      <xdr:nvSpPr>
        <xdr:cNvPr id="123" name="AutoShape 2">
          <a:extLst>
            <a:ext uri="{FF2B5EF4-FFF2-40B4-BE49-F238E27FC236}">
              <a16:creationId xmlns:a16="http://schemas.microsoft.com/office/drawing/2014/main" id="{B83EAF9F-C923-483D-AFF1-1202C4D7B0BD}"/>
            </a:ext>
          </a:extLst>
        </xdr:cNvPr>
        <xdr:cNvSpPr>
          <a:spLocks noChangeArrowheads="1"/>
        </xdr:cNvSpPr>
      </xdr:nvSpPr>
      <xdr:spPr bwMode="auto">
        <a:xfrm>
          <a:off x="16664940" y="12458701"/>
          <a:ext cx="762000" cy="16764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0</xdr:colOff>
      <xdr:row>84</xdr:row>
      <xdr:rowOff>1</xdr:rowOff>
    </xdr:from>
    <xdr:to>
      <xdr:col>21</xdr:col>
      <xdr:colOff>769620</xdr:colOff>
      <xdr:row>84</xdr:row>
      <xdr:rowOff>175261</xdr:rowOff>
    </xdr:to>
    <xdr:sp macro="" textlink="">
      <xdr:nvSpPr>
        <xdr:cNvPr id="124" name="AutoShape 2">
          <a:extLst>
            <a:ext uri="{FF2B5EF4-FFF2-40B4-BE49-F238E27FC236}">
              <a16:creationId xmlns:a16="http://schemas.microsoft.com/office/drawing/2014/main" id="{80F68103-3951-4272-A780-1384F5D5E312}"/>
            </a:ext>
          </a:extLst>
        </xdr:cNvPr>
        <xdr:cNvSpPr>
          <a:spLocks noChangeArrowheads="1"/>
        </xdr:cNvSpPr>
      </xdr:nvSpPr>
      <xdr:spPr bwMode="auto">
        <a:xfrm>
          <a:off x="16657320" y="15019021"/>
          <a:ext cx="769620" cy="1752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0</xdr:colOff>
      <xdr:row>93</xdr:row>
      <xdr:rowOff>0</xdr:rowOff>
    </xdr:from>
    <xdr:to>
      <xdr:col>21</xdr:col>
      <xdr:colOff>769620</xdr:colOff>
      <xdr:row>94</xdr:row>
      <xdr:rowOff>38100</xdr:rowOff>
    </xdr:to>
    <xdr:sp macro="" textlink="">
      <xdr:nvSpPr>
        <xdr:cNvPr id="125" name="AutoShape 2">
          <a:extLst>
            <a:ext uri="{FF2B5EF4-FFF2-40B4-BE49-F238E27FC236}">
              <a16:creationId xmlns:a16="http://schemas.microsoft.com/office/drawing/2014/main" id="{BA3B77FE-1866-417D-B392-7F23C10A5A80}"/>
            </a:ext>
          </a:extLst>
        </xdr:cNvPr>
        <xdr:cNvSpPr>
          <a:spLocks noChangeArrowheads="1"/>
        </xdr:cNvSpPr>
      </xdr:nvSpPr>
      <xdr:spPr bwMode="auto">
        <a:xfrm>
          <a:off x="16657320" y="16657320"/>
          <a:ext cx="769620" cy="2133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14</xdr:col>
      <xdr:colOff>47625</xdr:colOff>
      <xdr:row>75</xdr:row>
      <xdr:rowOff>38100</xdr:rowOff>
    </xdr:from>
    <xdr:to>
      <xdr:col>14</xdr:col>
      <xdr:colOff>266700</xdr:colOff>
      <xdr:row>75</xdr:row>
      <xdr:rowOff>165735</xdr:rowOff>
    </xdr:to>
    <xdr:grpSp>
      <xdr:nvGrpSpPr>
        <xdr:cNvPr id="126" name="Group 232">
          <a:extLst>
            <a:ext uri="{FF2B5EF4-FFF2-40B4-BE49-F238E27FC236}">
              <a16:creationId xmlns:a16="http://schemas.microsoft.com/office/drawing/2014/main" id="{0FFEE04A-517A-4E08-BD89-BFA74E78922D}"/>
            </a:ext>
          </a:extLst>
        </xdr:cNvPr>
        <xdr:cNvGrpSpPr>
          <a:grpSpLocks/>
        </xdr:cNvGrpSpPr>
      </xdr:nvGrpSpPr>
      <xdr:grpSpPr bwMode="auto">
        <a:xfrm>
          <a:off x="11210925" y="13464540"/>
          <a:ext cx="219075" cy="127635"/>
          <a:chOff x="304" y="241"/>
          <a:chExt cx="29" cy="29"/>
        </a:xfrm>
      </xdr:grpSpPr>
      <xdr:sp macro="" textlink="">
        <xdr:nvSpPr>
          <xdr:cNvPr id="127" name="Oval 233">
            <a:extLst>
              <a:ext uri="{FF2B5EF4-FFF2-40B4-BE49-F238E27FC236}">
                <a16:creationId xmlns:a16="http://schemas.microsoft.com/office/drawing/2014/main" id="{DB274A7B-59A6-CCD1-970A-05340005C8BA}"/>
              </a:ext>
            </a:extLst>
          </xdr:cNvPr>
          <xdr:cNvSpPr>
            <a:spLocks noChangeArrowheads="1"/>
          </xdr:cNvSpPr>
        </xdr:nvSpPr>
        <xdr:spPr bwMode="auto">
          <a:xfrm>
            <a:off x="308" y="241"/>
            <a:ext cx="22" cy="2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28" name="AutoShape 234">
            <a:extLst>
              <a:ext uri="{FF2B5EF4-FFF2-40B4-BE49-F238E27FC236}">
                <a16:creationId xmlns:a16="http://schemas.microsoft.com/office/drawing/2014/main" id="{197D68B3-01BA-6E3B-E37D-A1C7C0EAC0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304" y="251"/>
            <a:ext cx="29" cy="19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60000 65536"/>
              <a:gd name="T9" fmla="*/ 0 60000 65536"/>
              <a:gd name="T10" fmla="*/ 0 60000 65536"/>
              <a:gd name="T11" fmla="*/ 0 60000 65536"/>
              <a:gd name="T12" fmla="*/ 0 w 21600"/>
              <a:gd name="T13" fmla="*/ 0 h 21600"/>
              <a:gd name="T14" fmla="*/ 21600 w 21600"/>
              <a:gd name="T15" fmla="*/ 11368 h 21600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21600" h="21600">
                <a:moveTo>
                  <a:pt x="2979" y="9094"/>
                </a:moveTo>
                <a:cubicBezTo>
                  <a:pt x="3781" y="5417"/>
                  <a:pt x="7036" y="2796"/>
                  <a:pt x="10800" y="2796"/>
                </a:cubicBezTo>
                <a:cubicBezTo>
                  <a:pt x="14563" y="2796"/>
                  <a:pt x="17818" y="5417"/>
                  <a:pt x="18620" y="9094"/>
                </a:cubicBezTo>
                <a:lnTo>
                  <a:pt x="21351" y="8498"/>
                </a:lnTo>
                <a:cubicBezTo>
                  <a:pt x="20269" y="3537"/>
                  <a:pt x="15877" y="0"/>
                  <a:pt x="10799" y="0"/>
                </a:cubicBezTo>
                <a:cubicBezTo>
                  <a:pt x="5722" y="0"/>
                  <a:pt x="1330" y="3537"/>
                  <a:pt x="248" y="8498"/>
                </a:cubicBezTo>
                <a:lnTo>
                  <a:pt x="2979" y="909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00" mc:Ignorable="a14" a14:legacySpreadsheetColorIndex="1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15</xdr:col>
      <xdr:colOff>772545</xdr:colOff>
      <xdr:row>74</xdr:row>
      <xdr:rowOff>346</xdr:rowOff>
    </xdr:from>
    <xdr:to>
      <xdr:col>21</xdr:col>
      <xdr:colOff>781233</xdr:colOff>
      <xdr:row>74</xdr:row>
      <xdr:rowOff>169713</xdr:rowOff>
    </xdr:to>
    <xdr:sp macro="" textlink="">
      <xdr:nvSpPr>
        <xdr:cNvPr id="129" name="AutoShape 2">
          <a:extLst>
            <a:ext uri="{FF2B5EF4-FFF2-40B4-BE49-F238E27FC236}">
              <a16:creationId xmlns:a16="http://schemas.microsoft.com/office/drawing/2014/main" id="{E88AC0CB-3E84-4D40-A432-D1C772826E49}"/>
            </a:ext>
          </a:extLst>
        </xdr:cNvPr>
        <xdr:cNvSpPr>
          <a:spLocks noChangeArrowheads="1"/>
        </xdr:cNvSpPr>
      </xdr:nvSpPr>
      <xdr:spPr bwMode="auto">
        <a:xfrm rot="21241643">
          <a:off x="12720705" y="13205806"/>
          <a:ext cx="4717848" cy="169367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783414</xdr:colOff>
      <xdr:row>77</xdr:row>
      <xdr:rowOff>8118</xdr:rowOff>
    </xdr:from>
    <xdr:to>
      <xdr:col>22</xdr:col>
      <xdr:colOff>19423</xdr:colOff>
      <xdr:row>78</xdr:row>
      <xdr:rowOff>40499</xdr:rowOff>
    </xdr:to>
    <xdr:sp macro="" textlink="">
      <xdr:nvSpPr>
        <xdr:cNvPr id="130" name="AutoShape 2">
          <a:extLst>
            <a:ext uri="{FF2B5EF4-FFF2-40B4-BE49-F238E27FC236}">
              <a16:creationId xmlns:a16="http://schemas.microsoft.com/office/drawing/2014/main" id="{C60AB0F4-76D0-4FE5-97B7-C4FFECFC9C8C}"/>
            </a:ext>
          </a:extLst>
        </xdr:cNvPr>
        <xdr:cNvSpPr>
          <a:spLocks noChangeArrowheads="1"/>
        </xdr:cNvSpPr>
      </xdr:nvSpPr>
      <xdr:spPr bwMode="auto">
        <a:xfrm rot="318807">
          <a:off x="12731574" y="13838418"/>
          <a:ext cx="4730029" cy="200021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15</xdr:col>
      <xdr:colOff>648720</xdr:colOff>
      <xdr:row>85</xdr:row>
      <xdr:rowOff>160616</xdr:rowOff>
    </xdr:from>
    <xdr:to>
      <xdr:col>22</xdr:col>
      <xdr:colOff>186794</xdr:colOff>
      <xdr:row>86</xdr:row>
      <xdr:rowOff>156096</xdr:rowOff>
    </xdr:to>
    <xdr:sp macro="" textlink="">
      <xdr:nvSpPr>
        <xdr:cNvPr id="131" name="AutoShape 2">
          <a:extLst>
            <a:ext uri="{FF2B5EF4-FFF2-40B4-BE49-F238E27FC236}">
              <a16:creationId xmlns:a16="http://schemas.microsoft.com/office/drawing/2014/main" id="{70C9BAC5-401B-47B6-A2DA-773F427F6A71}"/>
            </a:ext>
          </a:extLst>
        </xdr:cNvPr>
        <xdr:cNvSpPr>
          <a:spLocks noChangeArrowheads="1"/>
        </xdr:cNvSpPr>
      </xdr:nvSpPr>
      <xdr:spPr bwMode="auto">
        <a:xfrm rot="1272812">
          <a:off x="12596880" y="15408236"/>
          <a:ext cx="5032094" cy="21646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19</xdr:col>
      <xdr:colOff>0</xdr:colOff>
      <xdr:row>70</xdr:row>
      <xdr:rowOff>0</xdr:rowOff>
    </xdr:from>
    <xdr:to>
      <xdr:col>19</xdr:col>
      <xdr:colOff>762000</xdr:colOff>
      <xdr:row>71</xdr:row>
      <xdr:rowOff>0</xdr:rowOff>
    </xdr:to>
    <xdr:sp macro="" textlink="">
      <xdr:nvSpPr>
        <xdr:cNvPr id="132" name="AutoShape 2">
          <a:extLst>
            <a:ext uri="{FF2B5EF4-FFF2-40B4-BE49-F238E27FC236}">
              <a16:creationId xmlns:a16="http://schemas.microsoft.com/office/drawing/2014/main" id="{F87B6DAE-833D-41A9-B1A1-74AD3320961C}"/>
            </a:ext>
          </a:extLst>
        </xdr:cNvPr>
        <xdr:cNvSpPr>
          <a:spLocks noChangeArrowheads="1"/>
        </xdr:cNvSpPr>
      </xdr:nvSpPr>
      <xdr:spPr bwMode="auto">
        <a:xfrm>
          <a:off x="15087600" y="12458700"/>
          <a:ext cx="762000" cy="167640"/>
        </a:xfrm>
        <a:prstGeom prst="rightArrow">
          <a:avLst>
            <a:gd name="adj1" fmla="val 39398"/>
            <a:gd name="adj2" fmla="val 5238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13</xdr:col>
      <xdr:colOff>0</xdr:colOff>
      <xdr:row>90</xdr:row>
      <xdr:rowOff>0</xdr:rowOff>
    </xdr:from>
    <xdr:to>
      <xdr:col>13</xdr:col>
      <xdr:colOff>361950</xdr:colOff>
      <xdr:row>91</xdr:row>
      <xdr:rowOff>41910</xdr:rowOff>
    </xdr:to>
    <xdr:grpSp>
      <xdr:nvGrpSpPr>
        <xdr:cNvPr id="133" name="Group 60">
          <a:extLst>
            <a:ext uri="{FF2B5EF4-FFF2-40B4-BE49-F238E27FC236}">
              <a16:creationId xmlns:a16="http://schemas.microsoft.com/office/drawing/2014/main" id="{7C1C7C87-724A-448F-8231-D196D17E0688}"/>
            </a:ext>
          </a:extLst>
        </xdr:cNvPr>
        <xdr:cNvGrpSpPr>
          <a:grpSpLocks/>
        </xdr:cNvGrpSpPr>
      </xdr:nvGrpSpPr>
      <xdr:grpSpPr bwMode="auto">
        <a:xfrm>
          <a:off x="10378440" y="16154400"/>
          <a:ext cx="361950" cy="209550"/>
          <a:chOff x="1860" y="222"/>
          <a:chExt cx="159" cy="139"/>
        </a:xfrm>
      </xdr:grpSpPr>
      <xdr:sp macro="" textlink="">
        <xdr:nvSpPr>
          <xdr:cNvPr id="134" name="AutoShape 61">
            <a:extLst>
              <a:ext uri="{FF2B5EF4-FFF2-40B4-BE49-F238E27FC236}">
                <a16:creationId xmlns:a16="http://schemas.microsoft.com/office/drawing/2014/main" id="{2E36234C-7834-42E0-AEAB-33817AD34BCD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5" name="Line 62">
            <a:extLst>
              <a:ext uri="{FF2B5EF4-FFF2-40B4-BE49-F238E27FC236}">
                <a16:creationId xmlns:a16="http://schemas.microsoft.com/office/drawing/2014/main" id="{91B29CAE-A48A-B82C-5E13-20F65087EC50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6" name="Line 63">
            <a:extLst>
              <a:ext uri="{FF2B5EF4-FFF2-40B4-BE49-F238E27FC236}">
                <a16:creationId xmlns:a16="http://schemas.microsoft.com/office/drawing/2014/main" id="{554888FC-113D-0EE4-5AFD-0BABA85D26CD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7" name="Line 64">
            <a:extLst>
              <a:ext uri="{FF2B5EF4-FFF2-40B4-BE49-F238E27FC236}">
                <a16:creationId xmlns:a16="http://schemas.microsoft.com/office/drawing/2014/main" id="{32232826-7BB9-69D3-B375-E1E2AC2F4D8E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16</xdr:col>
      <xdr:colOff>0</xdr:colOff>
      <xdr:row>78</xdr:row>
      <xdr:rowOff>0</xdr:rowOff>
    </xdr:from>
    <xdr:to>
      <xdr:col>16</xdr:col>
      <xdr:colOff>361950</xdr:colOff>
      <xdr:row>79</xdr:row>
      <xdr:rowOff>41910</xdr:rowOff>
    </xdr:to>
    <xdr:grpSp>
      <xdr:nvGrpSpPr>
        <xdr:cNvPr id="138" name="Group 60">
          <a:extLst>
            <a:ext uri="{FF2B5EF4-FFF2-40B4-BE49-F238E27FC236}">
              <a16:creationId xmlns:a16="http://schemas.microsoft.com/office/drawing/2014/main" id="{ED2ED6A2-A79E-4953-BCFB-FDE44A6441C4}"/>
            </a:ext>
          </a:extLst>
        </xdr:cNvPr>
        <xdr:cNvGrpSpPr>
          <a:grpSpLocks/>
        </xdr:cNvGrpSpPr>
      </xdr:nvGrpSpPr>
      <xdr:grpSpPr bwMode="auto">
        <a:xfrm>
          <a:off x="12733020" y="13997940"/>
          <a:ext cx="361950" cy="209550"/>
          <a:chOff x="1860" y="222"/>
          <a:chExt cx="159" cy="139"/>
        </a:xfrm>
      </xdr:grpSpPr>
      <xdr:sp macro="" textlink="">
        <xdr:nvSpPr>
          <xdr:cNvPr id="139" name="AutoShape 61">
            <a:extLst>
              <a:ext uri="{FF2B5EF4-FFF2-40B4-BE49-F238E27FC236}">
                <a16:creationId xmlns:a16="http://schemas.microsoft.com/office/drawing/2014/main" id="{D7906D4D-36BF-3FB0-A3BF-675008F318EA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0" name="Line 62">
            <a:extLst>
              <a:ext uri="{FF2B5EF4-FFF2-40B4-BE49-F238E27FC236}">
                <a16:creationId xmlns:a16="http://schemas.microsoft.com/office/drawing/2014/main" id="{FEA2FFAA-EDDD-70E3-0494-B8CB6C587555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1" name="Line 63">
            <a:extLst>
              <a:ext uri="{FF2B5EF4-FFF2-40B4-BE49-F238E27FC236}">
                <a16:creationId xmlns:a16="http://schemas.microsoft.com/office/drawing/2014/main" id="{E30686E1-EAC1-3664-A7EA-E805491C089F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2" name="Line 64">
            <a:extLst>
              <a:ext uri="{FF2B5EF4-FFF2-40B4-BE49-F238E27FC236}">
                <a16:creationId xmlns:a16="http://schemas.microsoft.com/office/drawing/2014/main" id="{ACCDBB13-1E64-2C8F-D476-AC6AAE71C350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14</xdr:col>
      <xdr:colOff>0</xdr:colOff>
      <xdr:row>67</xdr:row>
      <xdr:rowOff>0</xdr:rowOff>
    </xdr:from>
    <xdr:to>
      <xdr:col>14</xdr:col>
      <xdr:colOff>361950</xdr:colOff>
      <xdr:row>68</xdr:row>
      <xdr:rowOff>41910</xdr:rowOff>
    </xdr:to>
    <xdr:grpSp>
      <xdr:nvGrpSpPr>
        <xdr:cNvPr id="143" name="Group 60">
          <a:extLst>
            <a:ext uri="{FF2B5EF4-FFF2-40B4-BE49-F238E27FC236}">
              <a16:creationId xmlns:a16="http://schemas.microsoft.com/office/drawing/2014/main" id="{07B5C14A-7435-43F6-8328-54D7895EA685}"/>
            </a:ext>
          </a:extLst>
        </xdr:cNvPr>
        <xdr:cNvGrpSpPr>
          <a:grpSpLocks/>
        </xdr:cNvGrpSpPr>
      </xdr:nvGrpSpPr>
      <xdr:grpSpPr bwMode="auto">
        <a:xfrm>
          <a:off x="11163300" y="11948160"/>
          <a:ext cx="361950" cy="209550"/>
          <a:chOff x="1860" y="222"/>
          <a:chExt cx="159" cy="139"/>
        </a:xfrm>
      </xdr:grpSpPr>
      <xdr:sp macro="" textlink="">
        <xdr:nvSpPr>
          <xdr:cNvPr id="144" name="AutoShape 61">
            <a:extLst>
              <a:ext uri="{FF2B5EF4-FFF2-40B4-BE49-F238E27FC236}">
                <a16:creationId xmlns:a16="http://schemas.microsoft.com/office/drawing/2014/main" id="{406A9119-72BE-FF1A-5AAB-120993F129AB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5" name="Line 62">
            <a:extLst>
              <a:ext uri="{FF2B5EF4-FFF2-40B4-BE49-F238E27FC236}">
                <a16:creationId xmlns:a16="http://schemas.microsoft.com/office/drawing/2014/main" id="{3DE0D5B4-FA8C-0AFA-2350-6EE513E39F09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6" name="Line 63">
            <a:extLst>
              <a:ext uri="{FF2B5EF4-FFF2-40B4-BE49-F238E27FC236}">
                <a16:creationId xmlns:a16="http://schemas.microsoft.com/office/drawing/2014/main" id="{B885DD1B-684B-F45A-8DE5-3F0A7B3865B2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47" name="Line 64">
            <a:extLst>
              <a:ext uri="{FF2B5EF4-FFF2-40B4-BE49-F238E27FC236}">
                <a16:creationId xmlns:a16="http://schemas.microsoft.com/office/drawing/2014/main" id="{C794AA6B-1248-954A-63A6-FA08000284AD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18</xdr:col>
      <xdr:colOff>0</xdr:colOff>
      <xdr:row>64</xdr:row>
      <xdr:rowOff>0</xdr:rowOff>
    </xdr:from>
    <xdr:to>
      <xdr:col>18</xdr:col>
      <xdr:colOff>361950</xdr:colOff>
      <xdr:row>65</xdr:row>
      <xdr:rowOff>34290</xdr:rowOff>
    </xdr:to>
    <xdr:grpSp>
      <xdr:nvGrpSpPr>
        <xdr:cNvPr id="148" name="Group 60">
          <a:extLst>
            <a:ext uri="{FF2B5EF4-FFF2-40B4-BE49-F238E27FC236}">
              <a16:creationId xmlns:a16="http://schemas.microsoft.com/office/drawing/2014/main" id="{7DB4C466-1AF1-414A-9356-6B2ABBDD514B}"/>
            </a:ext>
          </a:extLst>
        </xdr:cNvPr>
        <xdr:cNvGrpSpPr>
          <a:grpSpLocks/>
        </xdr:cNvGrpSpPr>
      </xdr:nvGrpSpPr>
      <xdr:grpSpPr bwMode="auto">
        <a:xfrm>
          <a:off x="14302740" y="11437620"/>
          <a:ext cx="361950" cy="209550"/>
          <a:chOff x="1860" y="222"/>
          <a:chExt cx="159" cy="139"/>
        </a:xfrm>
      </xdr:grpSpPr>
      <xdr:sp macro="" textlink="">
        <xdr:nvSpPr>
          <xdr:cNvPr id="149" name="AutoShape 61">
            <a:extLst>
              <a:ext uri="{FF2B5EF4-FFF2-40B4-BE49-F238E27FC236}">
                <a16:creationId xmlns:a16="http://schemas.microsoft.com/office/drawing/2014/main" id="{8E7942B3-FDEF-4506-0E23-08A82C9593DE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0" name="Line 62">
            <a:extLst>
              <a:ext uri="{FF2B5EF4-FFF2-40B4-BE49-F238E27FC236}">
                <a16:creationId xmlns:a16="http://schemas.microsoft.com/office/drawing/2014/main" id="{EAD6C916-4610-D99E-D0B0-EA763AE1E3B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1" name="Line 63">
            <a:extLst>
              <a:ext uri="{FF2B5EF4-FFF2-40B4-BE49-F238E27FC236}">
                <a16:creationId xmlns:a16="http://schemas.microsoft.com/office/drawing/2014/main" id="{EF9DF311-F87E-95F7-D40D-8DDB2712F5D0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2" name="Line 64">
            <a:extLst>
              <a:ext uri="{FF2B5EF4-FFF2-40B4-BE49-F238E27FC236}">
                <a16:creationId xmlns:a16="http://schemas.microsoft.com/office/drawing/2014/main" id="{0C6CCFC1-3CE3-7678-5A81-4822032F3AB3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13</xdr:col>
      <xdr:colOff>15240</xdr:colOff>
      <xdr:row>110</xdr:row>
      <xdr:rowOff>114300</xdr:rowOff>
    </xdr:from>
    <xdr:to>
      <xdr:col>19</xdr:col>
      <xdr:colOff>335280</xdr:colOff>
      <xdr:row>113</xdr:row>
      <xdr:rowOff>85725</xdr:rowOff>
    </xdr:to>
    <xdr:grpSp>
      <xdr:nvGrpSpPr>
        <xdr:cNvPr id="153" name="Group 245">
          <a:extLst>
            <a:ext uri="{FF2B5EF4-FFF2-40B4-BE49-F238E27FC236}">
              <a16:creationId xmlns:a16="http://schemas.microsoft.com/office/drawing/2014/main" id="{494F9FE1-C0CE-4DF9-AB69-B2322A1D5834}"/>
            </a:ext>
          </a:extLst>
        </xdr:cNvPr>
        <xdr:cNvGrpSpPr>
          <a:grpSpLocks/>
        </xdr:cNvGrpSpPr>
      </xdr:nvGrpSpPr>
      <xdr:grpSpPr bwMode="auto">
        <a:xfrm>
          <a:off x="10393680" y="19766280"/>
          <a:ext cx="5029200" cy="474345"/>
          <a:chOff x="79" y="968"/>
          <a:chExt cx="303" cy="36"/>
        </a:xfrm>
      </xdr:grpSpPr>
      <xdr:sp macro="" textlink="">
        <xdr:nvSpPr>
          <xdr:cNvPr id="154" name="Line 237">
            <a:extLst>
              <a:ext uri="{FF2B5EF4-FFF2-40B4-BE49-F238E27FC236}">
                <a16:creationId xmlns:a16="http://schemas.microsoft.com/office/drawing/2014/main" id="{2093184E-D256-30BF-CB62-C0D9E3BA7857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Line 241">
            <a:extLst>
              <a:ext uri="{FF2B5EF4-FFF2-40B4-BE49-F238E27FC236}">
                <a16:creationId xmlns:a16="http://schemas.microsoft.com/office/drawing/2014/main" id="{2AB10F73-2618-B525-75F3-5E33AF2F3A92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Line 242">
            <a:extLst>
              <a:ext uri="{FF2B5EF4-FFF2-40B4-BE49-F238E27FC236}">
                <a16:creationId xmlns:a16="http://schemas.microsoft.com/office/drawing/2014/main" id="{2B6740CB-5BBB-C848-CAA1-28787AD6610C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7" name="Line 243">
            <a:extLst>
              <a:ext uri="{FF2B5EF4-FFF2-40B4-BE49-F238E27FC236}">
                <a16:creationId xmlns:a16="http://schemas.microsoft.com/office/drawing/2014/main" id="{9BF9F5F4-13DA-B319-1D06-81B28B1CE214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8" name="Line 244">
            <a:extLst>
              <a:ext uri="{FF2B5EF4-FFF2-40B4-BE49-F238E27FC236}">
                <a16:creationId xmlns:a16="http://schemas.microsoft.com/office/drawing/2014/main" id="{60C38B66-DC23-27F8-A85C-CE3105C5A8D4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114300</xdr:colOff>
      <xdr:row>110</xdr:row>
      <xdr:rowOff>114300</xdr:rowOff>
    </xdr:from>
    <xdr:to>
      <xdr:col>22</xdr:col>
      <xdr:colOff>723900</xdr:colOff>
      <xdr:row>113</xdr:row>
      <xdr:rowOff>85725</xdr:rowOff>
    </xdr:to>
    <xdr:grpSp>
      <xdr:nvGrpSpPr>
        <xdr:cNvPr id="159" name="Group 245">
          <a:extLst>
            <a:ext uri="{FF2B5EF4-FFF2-40B4-BE49-F238E27FC236}">
              <a16:creationId xmlns:a16="http://schemas.microsoft.com/office/drawing/2014/main" id="{1109418A-81E9-4D1C-B012-9D485F9C80C2}"/>
            </a:ext>
          </a:extLst>
        </xdr:cNvPr>
        <xdr:cNvGrpSpPr>
          <a:grpSpLocks/>
        </xdr:cNvGrpSpPr>
      </xdr:nvGrpSpPr>
      <xdr:grpSpPr bwMode="auto">
        <a:xfrm>
          <a:off x="15201900" y="19766280"/>
          <a:ext cx="2964180" cy="474345"/>
          <a:chOff x="79" y="968"/>
          <a:chExt cx="303" cy="36"/>
        </a:xfrm>
      </xdr:grpSpPr>
      <xdr:sp macro="" textlink="">
        <xdr:nvSpPr>
          <xdr:cNvPr id="160" name="Line 237">
            <a:extLst>
              <a:ext uri="{FF2B5EF4-FFF2-40B4-BE49-F238E27FC236}">
                <a16:creationId xmlns:a16="http://schemas.microsoft.com/office/drawing/2014/main" id="{01B0E07A-265F-4B3A-7057-A37093EA0208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1" name="Line 241">
            <a:extLst>
              <a:ext uri="{FF2B5EF4-FFF2-40B4-BE49-F238E27FC236}">
                <a16:creationId xmlns:a16="http://schemas.microsoft.com/office/drawing/2014/main" id="{024167E7-B74B-0ED2-1B9E-4D5EA78AA78A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242">
            <a:extLst>
              <a:ext uri="{FF2B5EF4-FFF2-40B4-BE49-F238E27FC236}">
                <a16:creationId xmlns:a16="http://schemas.microsoft.com/office/drawing/2014/main" id="{47EA5D5E-26D5-08A6-801C-E6F3FCA2CF44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Line 243">
            <a:extLst>
              <a:ext uri="{FF2B5EF4-FFF2-40B4-BE49-F238E27FC236}">
                <a16:creationId xmlns:a16="http://schemas.microsoft.com/office/drawing/2014/main" id="{83D63B05-B2DD-7973-BEAE-5CFA4B061E8C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244">
            <a:extLst>
              <a:ext uri="{FF2B5EF4-FFF2-40B4-BE49-F238E27FC236}">
                <a16:creationId xmlns:a16="http://schemas.microsoft.com/office/drawing/2014/main" id="{F8833D3F-8194-8FA9-7201-8D469BE8E0A9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236220</xdr:colOff>
      <xdr:row>110</xdr:row>
      <xdr:rowOff>91440</xdr:rowOff>
    </xdr:from>
    <xdr:to>
      <xdr:col>9</xdr:col>
      <xdr:colOff>15240</xdr:colOff>
      <xdr:row>113</xdr:row>
      <xdr:rowOff>62865</xdr:rowOff>
    </xdr:to>
    <xdr:grpSp>
      <xdr:nvGrpSpPr>
        <xdr:cNvPr id="165" name="Group 245">
          <a:extLst>
            <a:ext uri="{FF2B5EF4-FFF2-40B4-BE49-F238E27FC236}">
              <a16:creationId xmlns:a16="http://schemas.microsoft.com/office/drawing/2014/main" id="{7AD9E098-847D-4687-9FC7-DB2AAD9FB79A}"/>
            </a:ext>
          </a:extLst>
        </xdr:cNvPr>
        <xdr:cNvGrpSpPr>
          <a:grpSpLocks/>
        </xdr:cNvGrpSpPr>
      </xdr:nvGrpSpPr>
      <xdr:grpSpPr bwMode="auto">
        <a:xfrm>
          <a:off x="1021080" y="19743420"/>
          <a:ext cx="6408420" cy="474345"/>
          <a:chOff x="79" y="968"/>
          <a:chExt cx="303" cy="36"/>
        </a:xfrm>
      </xdr:grpSpPr>
      <xdr:sp macro="" textlink="">
        <xdr:nvSpPr>
          <xdr:cNvPr id="166" name="Line 237">
            <a:extLst>
              <a:ext uri="{FF2B5EF4-FFF2-40B4-BE49-F238E27FC236}">
                <a16:creationId xmlns:a16="http://schemas.microsoft.com/office/drawing/2014/main" id="{78ED755A-A084-EB2C-E25F-38E489C3C7DD}"/>
              </a:ext>
            </a:extLst>
          </xdr:cNvPr>
          <xdr:cNvSpPr>
            <a:spLocks noChangeShapeType="1"/>
          </xdr:cNvSpPr>
        </xdr:nvSpPr>
        <xdr:spPr bwMode="auto">
          <a:xfrm>
            <a:off x="79" y="968"/>
            <a:ext cx="80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7" name="Line 241">
            <a:extLst>
              <a:ext uri="{FF2B5EF4-FFF2-40B4-BE49-F238E27FC236}">
                <a16:creationId xmlns:a16="http://schemas.microsoft.com/office/drawing/2014/main" id="{54750141-DF81-B93A-B693-0EA32D67ABCD}"/>
              </a:ext>
            </a:extLst>
          </xdr:cNvPr>
          <xdr:cNvSpPr>
            <a:spLocks noChangeShapeType="1"/>
          </xdr:cNvSpPr>
        </xdr:nvSpPr>
        <xdr:spPr bwMode="auto">
          <a:xfrm>
            <a:off x="161" y="1003"/>
            <a:ext cx="142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8" name="Line 242">
            <a:extLst>
              <a:ext uri="{FF2B5EF4-FFF2-40B4-BE49-F238E27FC236}">
                <a16:creationId xmlns:a16="http://schemas.microsoft.com/office/drawing/2014/main" id="{D96481A5-F559-7272-A29F-C709BA364512}"/>
              </a:ext>
            </a:extLst>
          </xdr:cNvPr>
          <xdr:cNvSpPr>
            <a:spLocks noChangeShapeType="1"/>
          </xdr:cNvSpPr>
        </xdr:nvSpPr>
        <xdr:spPr bwMode="auto">
          <a:xfrm flipV="1">
            <a:off x="303" y="970"/>
            <a:ext cx="0" cy="3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9" name="Line 243">
            <a:extLst>
              <a:ext uri="{FF2B5EF4-FFF2-40B4-BE49-F238E27FC236}">
                <a16:creationId xmlns:a16="http://schemas.microsoft.com/office/drawing/2014/main" id="{D420D502-57A7-67F0-774D-F7A1890CD14F}"/>
              </a:ext>
            </a:extLst>
          </xdr:cNvPr>
          <xdr:cNvSpPr>
            <a:spLocks noChangeShapeType="1"/>
          </xdr:cNvSpPr>
        </xdr:nvSpPr>
        <xdr:spPr bwMode="auto">
          <a:xfrm>
            <a:off x="304" y="968"/>
            <a:ext cx="78" cy="0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" name="Line 244">
            <a:extLst>
              <a:ext uri="{FF2B5EF4-FFF2-40B4-BE49-F238E27FC236}">
                <a16:creationId xmlns:a16="http://schemas.microsoft.com/office/drawing/2014/main" id="{1EB84E5C-7570-AB91-55B7-BDA9233F7135}"/>
              </a:ext>
            </a:extLst>
          </xdr:cNvPr>
          <xdr:cNvSpPr>
            <a:spLocks noChangeShapeType="1"/>
          </xdr:cNvSpPr>
        </xdr:nvSpPr>
        <xdr:spPr bwMode="auto">
          <a:xfrm>
            <a:off x="160" y="970"/>
            <a:ext cx="0" cy="33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49</xdr:row>
      <xdr:rowOff>0</xdr:rowOff>
    </xdr:from>
    <xdr:to>
      <xdr:col>7</xdr:col>
      <xdr:colOff>361950</xdr:colOff>
      <xdr:row>50</xdr:row>
      <xdr:rowOff>41910</xdr:rowOff>
    </xdr:to>
    <xdr:grpSp>
      <xdr:nvGrpSpPr>
        <xdr:cNvPr id="171" name="Group 60">
          <a:extLst>
            <a:ext uri="{FF2B5EF4-FFF2-40B4-BE49-F238E27FC236}">
              <a16:creationId xmlns:a16="http://schemas.microsoft.com/office/drawing/2014/main" id="{11DAB9AD-0BEA-4F8D-9DD5-A57ED28F6148}"/>
            </a:ext>
          </a:extLst>
        </xdr:cNvPr>
        <xdr:cNvGrpSpPr>
          <a:grpSpLocks/>
        </xdr:cNvGrpSpPr>
      </xdr:nvGrpSpPr>
      <xdr:grpSpPr bwMode="auto">
        <a:xfrm>
          <a:off x="5494020" y="8679180"/>
          <a:ext cx="361950" cy="209550"/>
          <a:chOff x="1860" y="222"/>
          <a:chExt cx="159" cy="139"/>
        </a:xfrm>
      </xdr:grpSpPr>
      <xdr:sp macro="" textlink="">
        <xdr:nvSpPr>
          <xdr:cNvPr id="172" name="AutoShape 61">
            <a:extLst>
              <a:ext uri="{FF2B5EF4-FFF2-40B4-BE49-F238E27FC236}">
                <a16:creationId xmlns:a16="http://schemas.microsoft.com/office/drawing/2014/main" id="{E7592590-B3B2-A001-724D-3CADF58B3F77}"/>
              </a:ext>
            </a:extLst>
          </xdr:cNvPr>
          <xdr:cNvSpPr>
            <a:spLocks noChangeArrowheads="1"/>
          </xdr:cNvSpPr>
        </xdr:nvSpPr>
        <xdr:spPr bwMode="auto">
          <a:xfrm>
            <a:off x="1860" y="222"/>
            <a:ext cx="159" cy="139"/>
          </a:xfrm>
          <a:prstGeom prst="flowChartExtra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3" name="Line 62">
            <a:extLst>
              <a:ext uri="{FF2B5EF4-FFF2-40B4-BE49-F238E27FC236}">
                <a16:creationId xmlns:a16="http://schemas.microsoft.com/office/drawing/2014/main" id="{85FB7C5A-AD74-A1F1-00C7-D5E47DF3BAFD}"/>
              </a:ext>
            </a:extLst>
          </xdr:cNvPr>
          <xdr:cNvSpPr>
            <a:spLocks noChangeShapeType="1"/>
          </xdr:cNvSpPr>
        </xdr:nvSpPr>
        <xdr:spPr bwMode="auto">
          <a:xfrm>
            <a:off x="1940" y="279"/>
            <a:ext cx="0" cy="63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4" name="Line 63">
            <a:extLst>
              <a:ext uri="{FF2B5EF4-FFF2-40B4-BE49-F238E27FC236}">
                <a16:creationId xmlns:a16="http://schemas.microsoft.com/office/drawing/2014/main" id="{538765F6-2098-3306-0564-D7AB24021D6E}"/>
              </a:ext>
            </a:extLst>
          </xdr:cNvPr>
          <xdr:cNvSpPr>
            <a:spLocks noChangeShapeType="1"/>
          </xdr:cNvSpPr>
        </xdr:nvSpPr>
        <xdr:spPr bwMode="auto">
          <a:xfrm>
            <a:off x="1920" y="279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75" name="Line 64">
            <a:extLst>
              <a:ext uri="{FF2B5EF4-FFF2-40B4-BE49-F238E27FC236}">
                <a16:creationId xmlns:a16="http://schemas.microsoft.com/office/drawing/2014/main" id="{6C0E414F-9E0A-8432-B1A0-B357825B8AC8}"/>
              </a:ext>
            </a:extLst>
          </xdr:cNvPr>
          <xdr:cNvSpPr>
            <a:spLocks noChangeShapeType="1"/>
          </xdr:cNvSpPr>
        </xdr:nvSpPr>
        <xdr:spPr bwMode="auto">
          <a:xfrm>
            <a:off x="1920" y="342"/>
            <a:ext cx="41" cy="0"/>
          </a:xfrm>
          <a:prstGeom prst="line">
            <a:avLst/>
          </a:prstGeom>
          <a:noFill/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3</xdr:col>
      <xdr:colOff>723900</xdr:colOff>
      <xdr:row>63</xdr:row>
      <xdr:rowOff>187830</xdr:rowOff>
    </xdr:from>
    <xdr:to>
      <xdr:col>5</xdr:col>
      <xdr:colOff>22860</xdr:colOff>
      <xdr:row>66</xdr:row>
      <xdr:rowOff>59602</xdr:rowOff>
    </xdr:to>
    <xdr:pic>
      <xdr:nvPicPr>
        <xdr:cNvPr id="176" name="Picture 92">
          <a:extLst>
            <a:ext uri="{FF2B5EF4-FFF2-40B4-BE49-F238E27FC236}">
              <a16:creationId xmlns:a16="http://schemas.microsoft.com/office/drawing/2014/main" id="{4A0D1774-C239-432B-B79D-EE776FB4C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480" y="11404470"/>
          <a:ext cx="868680" cy="4356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5</xdr:col>
      <xdr:colOff>167640</xdr:colOff>
      <xdr:row>29</xdr:row>
      <xdr:rowOff>166672</xdr:rowOff>
    </xdr:to>
    <xdr:pic>
      <xdr:nvPicPr>
        <xdr:cNvPr id="177" name="Picture 92">
          <a:extLst>
            <a:ext uri="{FF2B5EF4-FFF2-40B4-BE49-F238E27FC236}">
              <a16:creationId xmlns:a16="http://schemas.microsoft.com/office/drawing/2014/main" id="{C16328AC-D100-4D71-BECE-BEFBD236E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9440" y="4594860"/>
          <a:ext cx="952500" cy="501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65</xdr:row>
      <xdr:rowOff>0</xdr:rowOff>
    </xdr:from>
    <xdr:to>
      <xdr:col>14</xdr:col>
      <xdr:colOff>600075</xdr:colOff>
      <xdr:row>66</xdr:row>
      <xdr:rowOff>148590</xdr:rowOff>
    </xdr:to>
    <xdr:pic>
      <xdr:nvPicPr>
        <xdr:cNvPr id="178" name="Picture 92">
          <a:extLst>
            <a:ext uri="{FF2B5EF4-FFF2-40B4-BE49-F238E27FC236}">
              <a16:creationId xmlns:a16="http://schemas.microsoft.com/office/drawing/2014/main" id="{BECA0609-A6D0-4163-983A-3BFD0D3C4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16128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0</xdr:colOff>
      <xdr:row>78</xdr:row>
      <xdr:rowOff>0</xdr:rowOff>
    </xdr:from>
    <xdr:to>
      <xdr:col>17</xdr:col>
      <xdr:colOff>600075</xdr:colOff>
      <xdr:row>79</xdr:row>
      <xdr:rowOff>148590</xdr:rowOff>
    </xdr:to>
    <xdr:pic>
      <xdr:nvPicPr>
        <xdr:cNvPr id="179" name="Picture 92">
          <a:extLst>
            <a:ext uri="{FF2B5EF4-FFF2-40B4-BE49-F238E27FC236}">
              <a16:creationId xmlns:a16="http://schemas.microsoft.com/office/drawing/2014/main" id="{638270C9-FCA2-424E-9B51-F37711B66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17880" y="1399794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19</xdr:col>
      <xdr:colOff>0</xdr:colOff>
      <xdr:row>67</xdr:row>
      <xdr:rowOff>0</xdr:rowOff>
    </xdr:from>
    <xdr:to>
      <xdr:col>19</xdr:col>
      <xdr:colOff>600075</xdr:colOff>
      <xdr:row>68</xdr:row>
      <xdr:rowOff>148590</xdr:rowOff>
    </xdr:to>
    <xdr:pic>
      <xdr:nvPicPr>
        <xdr:cNvPr id="180" name="Picture 92">
          <a:extLst>
            <a:ext uri="{FF2B5EF4-FFF2-40B4-BE49-F238E27FC236}">
              <a16:creationId xmlns:a16="http://schemas.microsoft.com/office/drawing/2014/main" id="{4DA868BD-3FF0-42A4-B244-021C6E8BE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87600" y="1194816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92</xdr:row>
      <xdr:rowOff>0</xdr:rowOff>
    </xdr:from>
    <xdr:to>
      <xdr:col>14</xdr:col>
      <xdr:colOff>600075</xdr:colOff>
      <xdr:row>93</xdr:row>
      <xdr:rowOff>148590</xdr:rowOff>
    </xdr:to>
    <xdr:pic>
      <xdr:nvPicPr>
        <xdr:cNvPr id="181" name="Picture 92">
          <a:extLst>
            <a:ext uri="{FF2B5EF4-FFF2-40B4-BE49-F238E27FC236}">
              <a16:creationId xmlns:a16="http://schemas.microsoft.com/office/drawing/2014/main" id="{408AE76D-927E-4C6E-A08A-488AB6EFF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63300" y="164896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0</xdr:colOff>
      <xdr:row>4</xdr:row>
      <xdr:rowOff>0</xdr:rowOff>
    </xdr:from>
    <xdr:to>
      <xdr:col>15</xdr:col>
      <xdr:colOff>600075</xdr:colOff>
      <xdr:row>5</xdr:row>
      <xdr:rowOff>148590</xdr:rowOff>
    </xdr:to>
    <xdr:pic>
      <xdr:nvPicPr>
        <xdr:cNvPr id="182" name="Picture 92">
          <a:extLst>
            <a:ext uri="{FF2B5EF4-FFF2-40B4-BE49-F238E27FC236}">
              <a16:creationId xmlns:a16="http://schemas.microsoft.com/office/drawing/2014/main" id="{6FCF398B-2A40-4E87-9E64-948BB0141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48160" y="6781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0</xdr:colOff>
      <xdr:row>60</xdr:row>
      <xdr:rowOff>0</xdr:rowOff>
    </xdr:from>
    <xdr:to>
      <xdr:col>20</xdr:col>
      <xdr:colOff>600075</xdr:colOff>
      <xdr:row>61</xdr:row>
      <xdr:rowOff>95250</xdr:rowOff>
    </xdr:to>
    <xdr:pic>
      <xdr:nvPicPr>
        <xdr:cNvPr id="183" name="Picture 92">
          <a:extLst>
            <a:ext uri="{FF2B5EF4-FFF2-40B4-BE49-F238E27FC236}">
              <a16:creationId xmlns:a16="http://schemas.microsoft.com/office/drawing/2014/main" id="{0EB5596A-869C-4812-B59A-F046F9204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2460" y="1059180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0</xdr:colOff>
      <xdr:row>90</xdr:row>
      <xdr:rowOff>0</xdr:rowOff>
    </xdr:from>
    <xdr:to>
      <xdr:col>9</xdr:col>
      <xdr:colOff>600075</xdr:colOff>
      <xdr:row>91</xdr:row>
      <xdr:rowOff>148590</xdr:rowOff>
    </xdr:to>
    <xdr:pic>
      <xdr:nvPicPr>
        <xdr:cNvPr id="184" name="Picture 92">
          <a:extLst>
            <a:ext uri="{FF2B5EF4-FFF2-40B4-BE49-F238E27FC236}">
              <a16:creationId xmlns:a16="http://schemas.microsoft.com/office/drawing/2014/main" id="{895C37C4-6A28-4FD1-A951-9A789CB13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4260" y="1615440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0</xdr:colOff>
      <xdr:row>49</xdr:row>
      <xdr:rowOff>0</xdr:rowOff>
    </xdr:from>
    <xdr:to>
      <xdr:col>8</xdr:col>
      <xdr:colOff>600075</xdr:colOff>
      <xdr:row>50</xdr:row>
      <xdr:rowOff>148590</xdr:rowOff>
    </xdr:to>
    <xdr:pic>
      <xdr:nvPicPr>
        <xdr:cNvPr id="185" name="Picture 92">
          <a:extLst>
            <a:ext uri="{FF2B5EF4-FFF2-40B4-BE49-F238E27FC236}">
              <a16:creationId xmlns:a16="http://schemas.microsoft.com/office/drawing/2014/main" id="{69BE55C1-063A-4CA5-8092-C5253A1F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67918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2</xdr:col>
      <xdr:colOff>600075</xdr:colOff>
      <xdr:row>52</xdr:row>
      <xdr:rowOff>148590</xdr:rowOff>
    </xdr:to>
    <xdr:pic>
      <xdr:nvPicPr>
        <xdr:cNvPr id="186" name="Picture 92">
          <a:extLst>
            <a:ext uri="{FF2B5EF4-FFF2-40B4-BE49-F238E27FC236}">
              <a16:creationId xmlns:a16="http://schemas.microsoft.com/office/drawing/2014/main" id="{E4D9EAED-9504-435F-BF96-A278C0D65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720" y="901446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0</xdr:colOff>
      <xdr:row>102</xdr:row>
      <xdr:rowOff>0</xdr:rowOff>
    </xdr:from>
    <xdr:to>
      <xdr:col>12</xdr:col>
      <xdr:colOff>600075</xdr:colOff>
      <xdr:row>103</xdr:row>
      <xdr:rowOff>148590</xdr:rowOff>
    </xdr:to>
    <xdr:pic>
      <xdr:nvPicPr>
        <xdr:cNvPr id="187" name="Picture 92">
          <a:extLst>
            <a:ext uri="{FF2B5EF4-FFF2-40B4-BE49-F238E27FC236}">
              <a16:creationId xmlns:a16="http://schemas.microsoft.com/office/drawing/2014/main" id="{5D007C79-B735-4FE2-8BD5-EEEE04F58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3580" y="1829562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236220</xdr:colOff>
      <xdr:row>3</xdr:row>
      <xdr:rowOff>0</xdr:rowOff>
    </xdr:from>
    <xdr:to>
      <xdr:col>11</xdr:col>
      <xdr:colOff>487680</xdr:colOff>
      <xdr:row>4</xdr:row>
      <xdr:rowOff>60960</xdr:rowOff>
    </xdr:to>
    <xdr:sp macro="" textlink="">
      <xdr:nvSpPr>
        <xdr:cNvPr id="188" name="AutoShape 33">
          <a:extLst>
            <a:ext uri="{FF2B5EF4-FFF2-40B4-BE49-F238E27FC236}">
              <a16:creationId xmlns:a16="http://schemas.microsoft.com/office/drawing/2014/main" id="{B9D01522-3C28-4485-96EB-3D4DF456F159}"/>
            </a:ext>
          </a:extLst>
        </xdr:cNvPr>
        <xdr:cNvSpPr>
          <a:spLocks noChangeArrowheads="1"/>
        </xdr:cNvSpPr>
      </xdr:nvSpPr>
      <xdr:spPr bwMode="auto">
        <a:xfrm rot="10800000">
          <a:off x="3375660" y="510540"/>
          <a:ext cx="6179820" cy="22860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4</xdr:col>
      <xdr:colOff>201930</xdr:colOff>
      <xdr:row>3</xdr:row>
      <xdr:rowOff>99060</xdr:rowOff>
    </xdr:from>
    <xdr:to>
      <xdr:col>4</xdr:col>
      <xdr:colOff>403860</xdr:colOff>
      <xdr:row>17</xdr:row>
      <xdr:rowOff>0</xdr:rowOff>
    </xdr:to>
    <xdr:sp macro="" textlink="">
      <xdr:nvSpPr>
        <xdr:cNvPr id="189" name="AutoShape 33">
          <a:extLst>
            <a:ext uri="{FF2B5EF4-FFF2-40B4-BE49-F238E27FC236}">
              <a16:creationId xmlns:a16="http://schemas.microsoft.com/office/drawing/2014/main" id="{7E6C891C-A4B2-4512-A222-591B8CE5E662}"/>
            </a:ext>
          </a:extLst>
        </xdr:cNvPr>
        <xdr:cNvSpPr>
          <a:spLocks noChangeArrowheads="1"/>
        </xdr:cNvSpPr>
      </xdr:nvSpPr>
      <xdr:spPr bwMode="auto">
        <a:xfrm rot="5400000">
          <a:off x="2310765" y="1640205"/>
          <a:ext cx="2263140" cy="201930"/>
        </a:xfrm>
        <a:prstGeom prst="rightArrow">
          <a:avLst>
            <a:gd name="adj1" fmla="val 50000"/>
            <a:gd name="adj2" fmla="val 57143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/>
        <a:lstStyle/>
        <a:p>
          <a:endParaRPr lang="es-VE"/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600075</xdr:colOff>
      <xdr:row>6</xdr:row>
      <xdr:rowOff>148590</xdr:rowOff>
    </xdr:to>
    <xdr:pic>
      <xdr:nvPicPr>
        <xdr:cNvPr id="190" name="Picture 92">
          <a:extLst>
            <a:ext uri="{FF2B5EF4-FFF2-40B4-BE49-F238E27FC236}">
              <a16:creationId xmlns:a16="http://schemas.microsoft.com/office/drawing/2014/main" id="{4FA75DC1-C106-4505-B942-347F7DE20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845820"/>
          <a:ext cx="600075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45720</xdr:colOff>
      <xdr:row>49</xdr:row>
      <xdr:rowOff>144780</xdr:rowOff>
    </xdr:from>
    <xdr:to>
      <xdr:col>10</xdr:col>
      <xdr:colOff>762000</xdr:colOff>
      <xdr:row>51</xdr:row>
      <xdr:rowOff>144780</xdr:rowOff>
    </xdr:to>
    <xdr:grpSp>
      <xdr:nvGrpSpPr>
        <xdr:cNvPr id="191" name="Group 39">
          <a:extLst>
            <a:ext uri="{FF2B5EF4-FFF2-40B4-BE49-F238E27FC236}">
              <a16:creationId xmlns:a16="http://schemas.microsoft.com/office/drawing/2014/main" id="{63B5E0E6-C8E3-4ED6-8B27-48072E307FF3}"/>
            </a:ext>
          </a:extLst>
        </xdr:cNvPr>
        <xdr:cNvGrpSpPr>
          <a:grpSpLocks/>
        </xdr:cNvGrpSpPr>
      </xdr:nvGrpSpPr>
      <xdr:grpSpPr bwMode="auto">
        <a:xfrm>
          <a:off x="8244840" y="8823960"/>
          <a:ext cx="716280" cy="335280"/>
          <a:chOff x="320" y="533"/>
          <a:chExt cx="52" cy="52"/>
        </a:xfrm>
      </xdr:grpSpPr>
      <xdr:sp macro="" textlink="">
        <xdr:nvSpPr>
          <xdr:cNvPr id="192" name="Rectangle 40">
            <a:extLst>
              <a:ext uri="{FF2B5EF4-FFF2-40B4-BE49-F238E27FC236}">
                <a16:creationId xmlns:a16="http://schemas.microsoft.com/office/drawing/2014/main" id="{86F02C02-5DA2-78B1-0D4D-B9A57353F622}"/>
              </a:ext>
            </a:extLst>
          </xdr:cNvPr>
          <xdr:cNvSpPr>
            <a:spLocks noChangeArrowheads="1"/>
          </xdr:cNvSpPr>
        </xdr:nvSpPr>
        <xdr:spPr bwMode="auto">
          <a:xfrm>
            <a:off x="320" y="568"/>
            <a:ext cx="52" cy="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3" name="Rectangle 41">
            <a:extLst>
              <a:ext uri="{FF2B5EF4-FFF2-40B4-BE49-F238E27FC236}">
                <a16:creationId xmlns:a16="http://schemas.microsoft.com/office/drawing/2014/main" id="{2B46C6A7-92C7-B82A-BAE7-AEB21A512B2D}"/>
              </a:ext>
            </a:extLst>
          </xdr:cNvPr>
          <xdr:cNvSpPr>
            <a:spLocks noChangeArrowheads="1"/>
          </xdr:cNvSpPr>
        </xdr:nvSpPr>
        <xdr:spPr bwMode="auto">
          <a:xfrm>
            <a:off x="320" y="533"/>
            <a:ext cx="8" cy="3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4" name="AutoShape 42">
            <a:extLst>
              <a:ext uri="{FF2B5EF4-FFF2-40B4-BE49-F238E27FC236}">
                <a16:creationId xmlns:a16="http://schemas.microsoft.com/office/drawing/2014/main" id="{FAB9B6A1-76EE-944C-02EA-EA29D4FA98D1}"/>
              </a:ext>
            </a:extLst>
          </xdr:cNvPr>
          <xdr:cNvSpPr>
            <a:spLocks noChangeArrowheads="1"/>
          </xdr:cNvSpPr>
        </xdr:nvSpPr>
        <xdr:spPr bwMode="auto">
          <a:xfrm>
            <a:off x="324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5" name="AutoShape 43">
            <a:extLst>
              <a:ext uri="{FF2B5EF4-FFF2-40B4-BE49-F238E27FC236}">
                <a16:creationId xmlns:a16="http://schemas.microsoft.com/office/drawing/2014/main" id="{0E49E8FE-E1F9-C2DD-B0D1-BC789128E123}"/>
              </a:ext>
            </a:extLst>
          </xdr:cNvPr>
          <xdr:cNvSpPr>
            <a:spLocks noChangeArrowheads="1"/>
          </xdr:cNvSpPr>
        </xdr:nvSpPr>
        <xdr:spPr bwMode="auto">
          <a:xfrm>
            <a:off x="350" y="571"/>
            <a:ext cx="16" cy="14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w 21600"/>
              <a:gd name="T7" fmla="*/ 0 h 21600"/>
              <a:gd name="T8" fmla="*/ 0 w 21600"/>
              <a:gd name="T9" fmla="*/ 0 h 21600"/>
              <a:gd name="T10" fmla="*/ 0 w 21600"/>
              <a:gd name="T11" fmla="*/ 0 h 21600"/>
              <a:gd name="T12" fmla="*/ 0 w 21600"/>
              <a:gd name="T13" fmla="*/ 0 h 21600"/>
              <a:gd name="T14" fmla="*/ 0 w 21600"/>
              <a:gd name="T15" fmla="*/ 0 h 21600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2700 w 21600"/>
              <a:gd name="T25" fmla="*/ 3086 h 21600"/>
              <a:gd name="T26" fmla="*/ 18900 w 21600"/>
              <a:gd name="T27" fmla="*/ 18514 h 21600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21600" h="21600">
                <a:moveTo>
                  <a:pt x="0" y="10800"/>
                </a:moveTo>
                <a:cubicBezTo>
                  <a:pt x="0" y="4835"/>
                  <a:pt x="4835" y="0"/>
                  <a:pt x="10800" y="0"/>
                </a:cubicBezTo>
                <a:cubicBezTo>
                  <a:pt x="16765" y="0"/>
                  <a:pt x="21600" y="4835"/>
                  <a:pt x="21600" y="10800"/>
                </a:cubicBezTo>
                <a:cubicBezTo>
                  <a:pt x="21600" y="16765"/>
                  <a:pt x="16765" y="21600"/>
                  <a:pt x="10800" y="21600"/>
                </a:cubicBezTo>
                <a:cubicBezTo>
                  <a:pt x="4835" y="21600"/>
                  <a:pt x="0" y="16765"/>
                  <a:pt x="0" y="10800"/>
                </a:cubicBezTo>
                <a:close/>
                <a:moveTo>
                  <a:pt x="5400" y="10800"/>
                </a:moveTo>
                <a:cubicBezTo>
                  <a:pt x="5400" y="13782"/>
                  <a:pt x="7818" y="16200"/>
                  <a:pt x="10800" y="16200"/>
                </a:cubicBezTo>
                <a:cubicBezTo>
                  <a:pt x="13782" y="16200"/>
                  <a:pt x="16200" y="13782"/>
                  <a:pt x="16200" y="10800"/>
                </a:cubicBezTo>
                <a:cubicBezTo>
                  <a:pt x="16200" y="7818"/>
                  <a:pt x="13782" y="5400"/>
                  <a:pt x="10800" y="5400"/>
                </a:cubicBezTo>
                <a:cubicBezTo>
                  <a:pt x="7818" y="5400"/>
                  <a:pt x="5400" y="7818"/>
                  <a:pt x="5400" y="10800"/>
                </a:cubicBez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99" mc:Ignorable="a14" a14:legacySpreadsheetColorIndex="4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6" name="AutoShape 44">
            <a:extLst>
              <a:ext uri="{FF2B5EF4-FFF2-40B4-BE49-F238E27FC236}">
                <a16:creationId xmlns:a16="http://schemas.microsoft.com/office/drawing/2014/main" id="{72AD7248-943D-804B-7447-AC69F84BEDE3}"/>
              </a:ext>
            </a:extLst>
          </xdr:cNvPr>
          <xdr:cNvSpPr>
            <a:spLocks noChangeArrowheads="1"/>
          </xdr:cNvSpPr>
        </xdr:nvSpPr>
        <xdr:spPr bwMode="auto">
          <a:xfrm>
            <a:off x="333" y="559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97" name="AutoShape 45">
            <a:extLst>
              <a:ext uri="{FF2B5EF4-FFF2-40B4-BE49-F238E27FC236}">
                <a16:creationId xmlns:a16="http://schemas.microsoft.com/office/drawing/2014/main" id="{ABBCC61C-5E6E-553E-044E-11FEAC720EB8}"/>
              </a:ext>
            </a:extLst>
          </xdr:cNvPr>
          <xdr:cNvSpPr>
            <a:spLocks noChangeArrowheads="1"/>
          </xdr:cNvSpPr>
        </xdr:nvSpPr>
        <xdr:spPr bwMode="auto">
          <a:xfrm>
            <a:off x="333" y="552"/>
            <a:ext cx="35" cy="8"/>
          </a:xfrm>
          <a:prstGeom prst="bevel">
            <a:avLst>
              <a:gd name="adj" fmla="val 12500"/>
            </a:avLst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</xdr:grpSp>
    <xdr:clientData/>
  </xdr:twoCellAnchor>
  <xdr:twoCellAnchor>
    <xdr:from>
      <xdr:col>10</xdr:col>
      <xdr:colOff>391813</xdr:colOff>
      <xdr:row>55</xdr:row>
      <xdr:rowOff>142407</xdr:rowOff>
    </xdr:from>
    <xdr:to>
      <xdr:col>18</xdr:col>
      <xdr:colOff>33093</xdr:colOff>
      <xdr:row>58</xdr:row>
      <xdr:rowOff>123442</xdr:rowOff>
    </xdr:to>
    <xdr:sp macro="" textlink="">
      <xdr:nvSpPr>
        <xdr:cNvPr id="198" name="AutoShape 235">
          <a:extLst>
            <a:ext uri="{FF2B5EF4-FFF2-40B4-BE49-F238E27FC236}">
              <a16:creationId xmlns:a16="http://schemas.microsoft.com/office/drawing/2014/main" id="{DA4A1809-FDF0-404E-92BD-EC9E813019A0}"/>
            </a:ext>
          </a:extLst>
        </xdr:cNvPr>
        <xdr:cNvSpPr>
          <a:spLocks noChangeArrowheads="1"/>
        </xdr:cNvSpPr>
      </xdr:nvSpPr>
      <xdr:spPr bwMode="auto">
        <a:xfrm rot="2175629">
          <a:off x="8590933" y="9827427"/>
          <a:ext cx="5744900" cy="491575"/>
        </a:xfrm>
        <a:prstGeom prst="rightArrow">
          <a:avLst>
            <a:gd name="adj1" fmla="val 40000"/>
            <a:gd name="adj2" fmla="val 70175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2857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K21"/>
  <sheetViews>
    <sheetView showGridLines="0" topLeftCell="A5" workbookViewId="0">
      <selection activeCell="K18" sqref="K18"/>
    </sheetView>
  </sheetViews>
  <sheetFormatPr baseColWidth="10" defaultColWidth="12.44140625" defaultRowHeight="13.8" x14ac:dyDescent="0.25"/>
  <cols>
    <col min="1" max="1" width="3.109375" style="1" customWidth="1"/>
    <col min="2" max="16384" width="12.44140625" style="1"/>
  </cols>
  <sheetData>
    <row r="6" spans="1:11" ht="17.399999999999999" x14ac:dyDescent="0.25">
      <c r="A6" s="216" t="s">
        <v>76</v>
      </c>
      <c r="B6" s="216"/>
      <c r="C6" s="216"/>
      <c r="D6" s="216"/>
      <c r="E6" s="216"/>
      <c r="F6" s="216"/>
      <c r="G6" s="216"/>
      <c r="H6" s="216"/>
      <c r="I6" s="216"/>
      <c r="J6" s="216"/>
      <c r="K6" s="68"/>
    </row>
    <row r="7" spans="1:11" ht="17.399999999999999" x14ac:dyDescent="0.25">
      <c r="A7" s="216" t="s">
        <v>77</v>
      </c>
      <c r="B7" s="216"/>
      <c r="C7" s="216"/>
      <c r="D7" s="216"/>
      <c r="E7" s="216"/>
      <c r="F7" s="216"/>
      <c r="G7" s="216"/>
      <c r="H7" s="216"/>
      <c r="I7" s="216"/>
      <c r="J7" s="216"/>
      <c r="K7" s="68"/>
    </row>
    <row r="20" spans="2:10" x14ac:dyDescent="0.25">
      <c r="B20" s="220" t="s">
        <v>78</v>
      </c>
      <c r="C20" s="221"/>
      <c r="D20" s="221"/>
      <c r="E20" s="221"/>
      <c r="F20" s="221"/>
      <c r="G20" s="221"/>
      <c r="H20" s="221"/>
      <c r="I20" s="221"/>
      <c r="J20" s="222"/>
    </row>
    <row r="21" spans="2:10" x14ac:dyDescent="0.25">
      <c r="B21" s="217" t="s">
        <v>116</v>
      </c>
      <c r="C21" s="218"/>
      <c r="D21" s="218"/>
      <c r="E21" s="218"/>
      <c r="F21" s="218"/>
      <c r="G21" s="218"/>
      <c r="H21" s="218"/>
      <c r="I21" s="218"/>
      <c r="J21" s="219"/>
    </row>
  </sheetData>
  <mergeCells count="4">
    <mergeCell ref="A6:J6"/>
    <mergeCell ref="A7:J7"/>
    <mergeCell ref="B21:J21"/>
    <mergeCell ref="B20:J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Z107"/>
  <sheetViews>
    <sheetView topLeftCell="D19" workbookViewId="0">
      <selection activeCell="T37" sqref="T37"/>
    </sheetView>
  </sheetViews>
  <sheetFormatPr baseColWidth="10" defaultColWidth="11.44140625" defaultRowHeight="13.2" x14ac:dyDescent="0.25"/>
  <cols>
    <col min="1" max="7" width="11.44140625" style="2"/>
    <col min="8" max="8" width="16.5546875" style="2" customWidth="1"/>
    <col min="9" max="10" width="11.44140625" style="2"/>
    <col min="11" max="11" width="12.6640625" style="2" customWidth="1"/>
    <col min="12" max="12" width="7.6640625" style="2" customWidth="1"/>
    <col min="13" max="16384" width="11.44140625" style="2"/>
  </cols>
  <sheetData>
    <row r="1" spans="13:21" ht="13.8" thickBot="1" x14ac:dyDescent="0.3"/>
    <row r="2" spans="13:21" x14ac:dyDescent="0.25">
      <c r="M2" s="94" t="s">
        <v>100</v>
      </c>
      <c r="N2" s="70"/>
      <c r="O2" s="70"/>
      <c r="P2" s="70"/>
      <c r="Q2" s="70"/>
      <c r="R2" s="70"/>
      <c r="S2" s="70"/>
      <c r="T2" s="70"/>
      <c r="U2" s="71"/>
    </row>
    <row r="3" spans="13:21" x14ac:dyDescent="0.25">
      <c r="M3" s="72"/>
      <c r="U3" s="73"/>
    </row>
    <row r="4" spans="13:21" x14ac:dyDescent="0.25">
      <c r="M4" s="72"/>
      <c r="U4" s="73"/>
    </row>
    <row r="5" spans="13:21" x14ac:dyDescent="0.25">
      <c r="M5" s="72"/>
      <c r="U5" s="73"/>
    </row>
    <row r="6" spans="13:21" x14ac:dyDescent="0.25">
      <c r="M6" s="72"/>
      <c r="U6" s="73"/>
    </row>
    <row r="7" spans="13:21" x14ac:dyDescent="0.25">
      <c r="M7" s="72"/>
      <c r="U7" s="73"/>
    </row>
    <row r="8" spans="13:21" ht="13.8" thickBot="1" x14ac:dyDescent="0.3">
      <c r="M8" s="74"/>
      <c r="N8" s="75"/>
      <c r="O8" s="75"/>
      <c r="P8" s="75"/>
      <c r="Q8" s="75"/>
      <c r="R8" s="75"/>
      <c r="S8" s="75"/>
      <c r="T8" s="75"/>
      <c r="U8" s="76"/>
    </row>
    <row r="17" spans="3:15" ht="13.8" thickBot="1" x14ac:dyDescent="0.3">
      <c r="K17" s="2" t="s">
        <v>104</v>
      </c>
    </row>
    <row r="18" spans="3:15" x14ac:dyDescent="0.25">
      <c r="C18" s="94" t="s">
        <v>99</v>
      </c>
      <c r="D18" s="70"/>
      <c r="E18" s="70"/>
      <c r="F18" s="70"/>
      <c r="G18" s="70"/>
      <c r="H18" s="71"/>
    </row>
    <row r="19" spans="3:15" ht="13.8" thickBot="1" x14ac:dyDescent="0.3">
      <c r="C19" s="72"/>
      <c r="H19" s="73"/>
    </row>
    <row r="20" spans="3:15" x14ac:dyDescent="0.25">
      <c r="C20" s="72"/>
      <c r="H20" s="73"/>
      <c r="L20" s="94" t="s">
        <v>103</v>
      </c>
      <c r="M20" s="100">
        <v>16</v>
      </c>
      <c r="N20" s="101">
        <f>+M20/M21</f>
        <v>0.47058823529411764</v>
      </c>
      <c r="O20" s="102" t="s">
        <v>106</v>
      </c>
    </row>
    <row r="21" spans="3:15" ht="13.8" thickBot="1" x14ac:dyDescent="0.3">
      <c r="C21" s="74"/>
      <c r="D21" s="75"/>
      <c r="E21" s="75"/>
      <c r="F21" s="75"/>
      <c r="G21" s="75"/>
      <c r="H21" s="76"/>
      <c r="L21" s="13"/>
      <c r="M21" s="103">
        <v>34</v>
      </c>
      <c r="N21" s="103"/>
      <c r="O21" s="104"/>
    </row>
    <row r="22" spans="3:15" ht="15.6" thickBot="1" x14ac:dyDescent="0.3">
      <c r="C22" s="95" t="s">
        <v>92</v>
      </c>
      <c r="D22" s="70"/>
      <c r="E22" s="70"/>
      <c r="F22" s="70"/>
      <c r="G22" s="70"/>
      <c r="H22" s="71"/>
    </row>
    <row r="23" spans="3:15" x14ac:dyDescent="0.25">
      <c r="C23" s="69"/>
      <c r="D23" s="71"/>
      <c r="H23" s="73"/>
      <c r="L23" s="2" t="s">
        <v>105</v>
      </c>
      <c r="M23" s="2">
        <v>16</v>
      </c>
      <c r="N23" s="99">
        <f>+M23/M24</f>
        <v>1.4545454545454546</v>
      </c>
      <c r="O23" s="2" t="s">
        <v>106</v>
      </c>
    </row>
    <row r="24" spans="3:15" x14ac:dyDescent="0.25">
      <c r="C24" s="9" t="s">
        <v>93</v>
      </c>
      <c r="D24" s="73"/>
      <c r="F24" s="85" t="s">
        <v>91</v>
      </c>
      <c r="H24" s="73"/>
      <c r="M24" s="2">
        <v>11</v>
      </c>
    </row>
    <row r="25" spans="3:15" x14ac:dyDescent="0.25">
      <c r="C25" s="72"/>
      <c r="D25" s="73"/>
      <c r="H25" s="73"/>
    </row>
    <row r="26" spans="3:15" x14ac:dyDescent="0.25">
      <c r="C26" s="72"/>
      <c r="D26" s="73"/>
      <c r="H26" s="73"/>
    </row>
    <row r="27" spans="3:15" x14ac:dyDescent="0.25">
      <c r="C27" s="72"/>
      <c r="D27" s="73"/>
      <c r="H27" s="73"/>
    </row>
    <row r="28" spans="3:15" x14ac:dyDescent="0.25">
      <c r="C28" s="72"/>
      <c r="D28" s="73"/>
      <c r="H28" s="73"/>
    </row>
    <row r="29" spans="3:15" x14ac:dyDescent="0.25">
      <c r="C29" s="72"/>
      <c r="D29" s="73"/>
      <c r="H29" s="73"/>
    </row>
    <row r="30" spans="3:15" x14ac:dyDescent="0.25">
      <c r="C30" s="72"/>
      <c r="D30" s="73"/>
      <c r="H30" s="73"/>
    </row>
    <row r="31" spans="3:15" ht="24" x14ac:dyDescent="0.35">
      <c r="C31" s="86" t="s">
        <v>94</v>
      </c>
      <c r="D31" s="86"/>
      <c r="E31" s="87"/>
      <c r="F31" s="87"/>
      <c r="G31" s="85"/>
      <c r="H31" s="88"/>
    </row>
    <row r="32" spans="3:15" x14ac:dyDescent="0.25">
      <c r="C32" s="72"/>
      <c r="H32" s="73"/>
    </row>
    <row r="33" spans="3:12" x14ac:dyDescent="0.25">
      <c r="C33" s="72"/>
      <c r="D33" s="73"/>
      <c r="H33" s="73"/>
    </row>
    <row r="34" spans="3:12" x14ac:dyDescent="0.25">
      <c r="C34" s="72"/>
      <c r="D34" s="73"/>
      <c r="H34" s="73"/>
    </row>
    <row r="35" spans="3:12" ht="13.8" thickBot="1" x14ac:dyDescent="0.3">
      <c r="C35" s="72"/>
      <c r="D35" s="73"/>
      <c r="H35" s="73"/>
    </row>
    <row r="36" spans="3:12" ht="17.399999999999999" x14ac:dyDescent="0.3">
      <c r="C36" s="72"/>
      <c r="D36" s="73"/>
      <c r="H36" s="73"/>
      <c r="K36" s="3" t="s">
        <v>81</v>
      </c>
      <c r="L36" s="4"/>
    </row>
    <row r="37" spans="3:12" ht="17.399999999999999" x14ac:dyDescent="0.3">
      <c r="C37" s="72"/>
      <c r="D37" s="73"/>
      <c r="H37" s="73"/>
      <c r="K37" s="5"/>
      <c r="L37" s="6">
        <v>2</v>
      </c>
    </row>
    <row r="38" spans="3:12" ht="13.8" thickBot="1" x14ac:dyDescent="0.3">
      <c r="C38" s="72"/>
      <c r="D38" s="73"/>
      <c r="H38" s="73"/>
      <c r="K38" s="7" t="s">
        <v>79</v>
      </c>
      <c r="L38" s="8"/>
    </row>
    <row r="39" spans="3:12" x14ac:dyDescent="0.25">
      <c r="C39" s="72"/>
      <c r="D39" s="73"/>
      <c r="H39" s="73"/>
      <c r="K39" s="9" t="s">
        <v>64</v>
      </c>
      <c r="L39" s="10">
        <v>16</v>
      </c>
    </row>
    <row r="40" spans="3:12" x14ac:dyDescent="0.25">
      <c r="C40" s="72"/>
      <c r="D40" s="73"/>
      <c r="H40" s="73"/>
      <c r="K40" s="9" t="s">
        <v>6</v>
      </c>
      <c r="L40" s="11">
        <v>3</v>
      </c>
    </row>
    <row r="41" spans="3:12" x14ac:dyDescent="0.25">
      <c r="C41" s="72"/>
      <c r="D41" s="73"/>
      <c r="H41" s="73"/>
      <c r="K41" s="9" t="s">
        <v>4</v>
      </c>
      <c r="L41" s="12">
        <v>0.5</v>
      </c>
    </row>
    <row r="42" spans="3:12" x14ac:dyDescent="0.25">
      <c r="C42" s="72"/>
      <c r="D42" s="73"/>
      <c r="H42" s="73"/>
      <c r="K42" s="9" t="s">
        <v>68</v>
      </c>
      <c r="L42" s="11">
        <v>14</v>
      </c>
    </row>
    <row r="43" spans="3:12" ht="13.8" thickBot="1" x14ac:dyDescent="0.3">
      <c r="C43" s="74"/>
      <c r="D43" s="76"/>
      <c r="E43" s="75"/>
      <c r="F43" s="75"/>
      <c r="G43" s="75"/>
      <c r="H43" s="76"/>
      <c r="K43" s="9" t="s">
        <v>16</v>
      </c>
      <c r="L43" s="96">
        <f>+(120-15)/120</f>
        <v>0.875</v>
      </c>
    </row>
    <row r="44" spans="3:12" x14ac:dyDescent="0.25">
      <c r="K44" s="9" t="s">
        <v>65</v>
      </c>
      <c r="L44" s="11"/>
    </row>
    <row r="45" spans="3:12" ht="13.8" thickBot="1" x14ac:dyDescent="0.3">
      <c r="K45" s="13"/>
      <c r="L45" s="14"/>
    </row>
    <row r="46" spans="3:12" ht="13.8" thickBot="1" x14ac:dyDescent="0.3"/>
    <row r="47" spans="3:12" ht="17.399999999999999" x14ac:dyDescent="0.3">
      <c r="D47" s="3" t="s">
        <v>81</v>
      </c>
      <c r="E47" s="4"/>
      <c r="H47" s="94" t="s">
        <v>98</v>
      </c>
      <c r="I47" s="70"/>
      <c r="J47" s="70"/>
      <c r="K47" s="71"/>
    </row>
    <row r="48" spans="3:12" ht="17.399999999999999" x14ac:dyDescent="0.3">
      <c r="D48" s="5"/>
      <c r="E48" s="6">
        <v>2</v>
      </c>
      <c r="H48" s="72"/>
      <c r="K48" s="73"/>
    </row>
    <row r="49" spans="3:26" ht="13.8" thickBot="1" x14ac:dyDescent="0.3">
      <c r="D49" s="7" t="s">
        <v>80</v>
      </c>
      <c r="E49" s="8"/>
      <c r="H49" s="72"/>
      <c r="K49" s="73"/>
    </row>
    <row r="50" spans="3:26" x14ac:dyDescent="0.25">
      <c r="D50" s="9" t="s">
        <v>64</v>
      </c>
      <c r="E50" s="10">
        <v>16</v>
      </c>
      <c r="H50" s="72"/>
      <c r="K50" s="73"/>
    </row>
    <row r="51" spans="3:26" x14ac:dyDescent="0.25">
      <c r="D51" s="9" t="s">
        <v>6</v>
      </c>
      <c r="E51" s="11">
        <v>3</v>
      </c>
      <c r="H51" s="72"/>
      <c r="K51" s="73"/>
    </row>
    <row r="52" spans="3:26" x14ac:dyDescent="0.25">
      <c r="D52" s="9" t="s">
        <v>4</v>
      </c>
      <c r="E52" s="12">
        <v>0.5</v>
      </c>
      <c r="H52" s="72"/>
      <c r="K52" s="73"/>
    </row>
    <row r="53" spans="3:26" x14ac:dyDescent="0.25">
      <c r="D53" s="9" t="s">
        <v>68</v>
      </c>
      <c r="E53" s="11">
        <v>12</v>
      </c>
      <c r="H53" s="72"/>
      <c r="K53" s="73"/>
    </row>
    <row r="54" spans="3:26" x14ac:dyDescent="0.25">
      <c r="D54" s="9" t="s">
        <v>16</v>
      </c>
      <c r="E54" s="96">
        <f>+(260-5)/260</f>
        <v>0.98076923076923073</v>
      </c>
      <c r="H54" s="72"/>
      <c r="K54" s="73"/>
    </row>
    <row r="55" spans="3:26" x14ac:dyDescent="0.25">
      <c r="D55" s="9" t="s">
        <v>65</v>
      </c>
      <c r="E55" s="11"/>
      <c r="H55" s="72"/>
      <c r="K55" s="73"/>
    </row>
    <row r="56" spans="3:26" ht="13.8" thickBot="1" x14ac:dyDescent="0.3">
      <c r="D56" s="13"/>
      <c r="E56" s="14"/>
      <c r="H56" s="74"/>
      <c r="I56" s="75"/>
      <c r="J56" s="75"/>
      <c r="K56" s="76"/>
    </row>
    <row r="57" spans="3:26" x14ac:dyDescent="0.25">
      <c r="C57" s="85"/>
    </row>
    <row r="58" spans="3:26" x14ac:dyDescent="0.25">
      <c r="C58" s="85"/>
    </row>
    <row r="59" spans="3:26" ht="13.8" thickBot="1" x14ac:dyDescent="0.3">
      <c r="C59" s="85"/>
    </row>
    <row r="60" spans="3:26" ht="17.399999999999999" x14ac:dyDescent="0.3">
      <c r="C60" s="3" t="s">
        <v>88</v>
      </c>
      <c r="D60" s="4"/>
      <c r="E60" s="82"/>
    </row>
    <row r="61" spans="3:26" ht="17.399999999999999" x14ac:dyDescent="0.3">
      <c r="C61" s="5"/>
      <c r="D61" s="6">
        <v>4</v>
      </c>
      <c r="E61" s="83"/>
    </row>
    <row r="62" spans="3:26" ht="13.8" thickBot="1" x14ac:dyDescent="0.3">
      <c r="C62" s="7" t="s">
        <v>107</v>
      </c>
      <c r="D62" s="8"/>
      <c r="E62" s="84"/>
    </row>
    <row r="63" spans="3:26" ht="18" thickBot="1" x14ac:dyDescent="0.35">
      <c r="C63" s="9" t="s">
        <v>64</v>
      </c>
      <c r="D63" s="10">
        <v>16</v>
      </c>
      <c r="E63" s="80"/>
      <c r="F63" s="82"/>
      <c r="G63" s="82"/>
      <c r="H63" s="82"/>
      <c r="K63" s="3" t="s">
        <v>82</v>
      </c>
      <c r="L63" s="4"/>
      <c r="U63" s="223" t="s">
        <v>111</v>
      </c>
    </row>
    <row r="64" spans="3:26" ht="17.399999999999999" x14ac:dyDescent="0.3">
      <c r="C64" s="9" t="s">
        <v>6</v>
      </c>
      <c r="D64" s="11">
        <v>1</v>
      </c>
      <c r="E64" s="80"/>
      <c r="F64" s="83"/>
      <c r="G64" s="83"/>
      <c r="H64" s="83"/>
      <c r="K64" s="5"/>
      <c r="L64" s="6">
        <v>2</v>
      </c>
      <c r="O64" s="94" t="s">
        <v>89</v>
      </c>
      <c r="P64" s="70"/>
      <c r="Q64" s="70"/>
      <c r="R64" s="71"/>
      <c r="S64" s="89"/>
      <c r="U64" s="224"/>
      <c r="W64" s="94" t="s">
        <v>95</v>
      </c>
      <c r="X64" s="70"/>
      <c r="Y64" s="70"/>
      <c r="Z64" s="71"/>
    </row>
    <row r="65" spans="3:26" ht="13.8" thickBot="1" x14ac:dyDescent="0.3">
      <c r="C65" s="9" t="s">
        <v>4</v>
      </c>
      <c r="D65" s="12">
        <v>0.2</v>
      </c>
      <c r="E65" s="81"/>
      <c r="F65" s="84"/>
      <c r="G65" s="84"/>
      <c r="H65" s="84"/>
      <c r="K65" s="7" t="s">
        <v>83</v>
      </c>
      <c r="L65" s="8"/>
      <c r="O65" s="72"/>
      <c r="R65" s="73"/>
      <c r="S65" s="225" t="s">
        <v>90</v>
      </c>
      <c r="U65" s="224"/>
      <c r="W65" s="72"/>
      <c r="Z65" s="73"/>
    </row>
    <row r="66" spans="3:26" x14ac:dyDescent="0.25">
      <c r="C66" s="9" t="s">
        <v>68</v>
      </c>
      <c r="D66" s="11">
        <v>12</v>
      </c>
      <c r="E66" s="80"/>
      <c r="F66" s="80"/>
      <c r="G66" s="80"/>
      <c r="H66" s="80"/>
      <c r="K66" s="9" t="s">
        <v>64</v>
      </c>
      <c r="L66" s="10">
        <v>16</v>
      </c>
      <c r="O66" s="72"/>
      <c r="R66" s="73"/>
      <c r="S66" s="226"/>
      <c r="U66" s="224"/>
      <c r="W66" s="72"/>
      <c r="Z66" s="73"/>
    </row>
    <row r="67" spans="3:26" x14ac:dyDescent="0.25">
      <c r="C67" s="9" t="s">
        <v>16</v>
      </c>
      <c r="D67" s="96">
        <f>+(18-1)/18</f>
        <v>0.94444444444444442</v>
      </c>
      <c r="E67" s="98"/>
      <c r="F67" s="80"/>
      <c r="G67" s="80"/>
      <c r="H67" s="80"/>
      <c r="K67" s="9" t="s">
        <v>6</v>
      </c>
      <c r="L67" s="11">
        <v>0.2</v>
      </c>
      <c r="O67" s="72"/>
      <c r="R67" s="73"/>
      <c r="S67" s="226"/>
      <c r="U67" s="224"/>
      <c r="W67" s="72"/>
      <c r="Z67" s="73"/>
    </row>
    <row r="68" spans="3:26" x14ac:dyDescent="0.25">
      <c r="C68" s="9" t="s">
        <v>65</v>
      </c>
      <c r="D68" s="11"/>
      <c r="E68" s="80"/>
      <c r="F68" s="81"/>
      <c r="G68" s="81"/>
      <c r="H68" s="81"/>
      <c r="K68" s="9" t="s">
        <v>4</v>
      </c>
      <c r="L68" s="12">
        <v>0.1</v>
      </c>
      <c r="O68" s="72"/>
      <c r="R68" s="73"/>
      <c r="S68" s="226"/>
      <c r="U68" s="224"/>
      <c r="W68" s="72"/>
      <c r="Z68" s="73"/>
    </row>
    <row r="69" spans="3:26" ht="13.8" thickBot="1" x14ac:dyDescent="0.3">
      <c r="C69" s="13"/>
      <c r="D69" s="14"/>
      <c r="F69" s="80"/>
      <c r="G69" s="80"/>
      <c r="H69" s="80"/>
      <c r="K69" s="9" t="s">
        <v>68</v>
      </c>
      <c r="L69" s="11">
        <v>14</v>
      </c>
      <c r="O69" s="72"/>
      <c r="R69" s="73"/>
      <c r="S69" s="226"/>
      <c r="U69" s="224"/>
      <c r="W69" s="72"/>
      <c r="Z69" s="73"/>
    </row>
    <row r="70" spans="3:26" x14ac:dyDescent="0.25">
      <c r="F70" s="80"/>
      <c r="G70" s="80"/>
      <c r="H70" s="80"/>
      <c r="K70" s="9" t="s">
        <v>16</v>
      </c>
      <c r="L70" s="96">
        <f>+(123-14)/123</f>
        <v>0.88617886178861793</v>
      </c>
      <c r="O70" s="72"/>
      <c r="R70" s="73"/>
      <c r="S70" s="226"/>
      <c r="U70" s="224"/>
      <c r="W70" s="72"/>
      <c r="Z70" s="73"/>
    </row>
    <row r="71" spans="3:26" x14ac:dyDescent="0.25">
      <c r="F71" s="80"/>
      <c r="G71" s="80"/>
      <c r="H71" s="80"/>
      <c r="K71" s="9" t="s">
        <v>65</v>
      </c>
      <c r="L71" s="11"/>
      <c r="O71" s="72"/>
      <c r="R71" s="73"/>
      <c r="S71" s="226"/>
      <c r="U71" s="224"/>
      <c r="W71" s="72"/>
      <c r="Z71" s="73"/>
    </row>
    <row r="72" spans="3:26" ht="13.8" thickBot="1" x14ac:dyDescent="0.3">
      <c r="K72" s="13"/>
      <c r="L72" s="14"/>
      <c r="O72" s="72"/>
      <c r="R72" s="73"/>
      <c r="S72" s="226"/>
      <c r="U72" s="224"/>
      <c r="W72" s="72"/>
      <c r="Z72" s="73"/>
    </row>
    <row r="73" spans="3:26" ht="13.8" thickBot="1" x14ac:dyDescent="0.3">
      <c r="O73" s="72"/>
      <c r="R73" s="73"/>
      <c r="S73" s="226"/>
      <c r="U73" s="224"/>
      <c r="W73" s="72"/>
      <c r="Z73" s="73"/>
    </row>
    <row r="74" spans="3:26" ht="18" thickBot="1" x14ac:dyDescent="0.35">
      <c r="K74" s="3" t="s">
        <v>81</v>
      </c>
      <c r="L74" s="4"/>
      <c r="O74" s="94" t="s">
        <v>101</v>
      </c>
      <c r="P74" s="70"/>
      <c r="Q74" s="70"/>
      <c r="R74" s="71"/>
      <c r="S74" s="226"/>
      <c r="U74" s="224"/>
      <c r="W74" s="72"/>
      <c r="Z74" s="73"/>
    </row>
    <row r="75" spans="3:26" ht="17.399999999999999" customHeight="1" x14ac:dyDescent="0.3">
      <c r="K75" s="5"/>
      <c r="L75" s="6">
        <v>2</v>
      </c>
      <c r="O75" s="97" t="s">
        <v>102</v>
      </c>
      <c r="P75" s="4"/>
      <c r="R75" s="73"/>
      <c r="S75" s="226"/>
      <c r="U75" s="224"/>
      <c r="W75" s="72"/>
      <c r="Z75" s="73"/>
    </row>
    <row r="76" spans="3:26" ht="18" thickBot="1" x14ac:dyDescent="0.35">
      <c r="K76" s="7" t="s">
        <v>84</v>
      </c>
      <c r="L76" s="8"/>
      <c r="O76" s="5"/>
      <c r="P76" s="6">
        <v>12</v>
      </c>
      <c r="R76" s="73"/>
      <c r="S76" s="90"/>
      <c r="U76" s="224"/>
      <c r="W76" s="74"/>
      <c r="X76" s="75"/>
      <c r="Y76" s="75"/>
      <c r="Z76" s="76"/>
    </row>
    <row r="77" spans="3:26" ht="13.8" thickBot="1" x14ac:dyDescent="0.3">
      <c r="K77" s="9" t="s">
        <v>64</v>
      </c>
      <c r="L77" s="10">
        <v>16</v>
      </c>
      <c r="O77" s="7" t="s">
        <v>84</v>
      </c>
      <c r="P77" s="8"/>
      <c r="R77" s="73"/>
      <c r="S77" s="90"/>
      <c r="U77" s="224"/>
      <c r="W77" s="94" t="s">
        <v>96</v>
      </c>
      <c r="X77" s="70"/>
      <c r="Y77" s="70"/>
      <c r="Z77" s="71"/>
    </row>
    <row r="78" spans="3:26" ht="13.2" customHeight="1" x14ac:dyDescent="0.25">
      <c r="K78" s="9" t="s">
        <v>6</v>
      </c>
      <c r="L78" s="11">
        <v>3</v>
      </c>
      <c r="O78" s="9" t="s">
        <v>64</v>
      </c>
      <c r="P78" s="10">
        <v>16</v>
      </c>
      <c r="R78" s="73"/>
      <c r="S78" s="90"/>
      <c r="U78" s="224"/>
      <c r="W78" s="72"/>
      <c r="Z78" s="73"/>
    </row>
    <row r="79" spans="3:26" x14ac:dyDescent="0.25">
      <c r="K79" s="9" t="s">
        <v>4</v>
      </c>
      <c r="L79" s="12">
        <v>0.2</v>
      </c>
      <c r="O79" s="9" t="s">
        <v>6</v>
      </c>
      <c r="P79" s="11">
        <v>0.5</v>
      </c>
      <c r="R79" s="73"/>
      <c r="S79" s="90"/>
      <c r="U79" s="90"/>
      <c r="W79" s="72"/>
      <c r="Z79" s="73"/>
    </row>
    <row r="80" spans="3:26" x14ac:dyDescent="0.25">
      <c r="K80" s="9" t="s">
        <v>68</v>
      </c>
      <c r="L80" s="11">
        <v>14</v>
      </c>
      <c r="O80" s="9" t="s">
        <v>4</v>
      </c>
      <c r="P80" s="12">
        <v>0.1</v>
      </c>
      <c r="R80" s="73"/>
      <c r="S80" s="90"/>
      <c r="U80" s="90"/>
      <c r="W80" s="72"/>
      <c r="Z80" s="73"/>
    </row>
    <row r="81" spans="11:26" x14ac:dyDescent="0.25">
      <c r="K81" s="9" t="s">
        <v>16</v>
      </c>
      <c r="L81" s="96">
        <f>+(650-3)/650</f>
        <v>0.99538461538461542</v>
      </c>
      <c r="O81" s="9" t="s">
        <v>68</v>
      </c>
      <c r="P81" s="11">
        <v>14</v>
      </c>
      <c r="R81" s="73"/>
      <c r="S81" s="90"/>
      <c r="U81" s="90"/>
      <c r="W81" s="72"/>
      <c r="Z81" s="73"/>
    </row>
    <row r="82" spans="11:26" x14ac:dyDescent="0.25">
      <c r="K82" s="9" t="s">
        <v>65</v>
      </c>
      <c r="L82" s="11"/>
      <c r="O82" s="9" t="s">
        <v>16</v>
      </c>
      <c r="P82" s="96">
        <f>+(650-3)/650</f>
        <v>0.99538461538461542</v>
      </c>
      <c r="R82" s="73"/>
      <c r="S82" s="90"/>
      <c r="U82" s="90"/>
      <c r="W82" s="72"/>
      <c r="Z82" s="73"/>
    </row>
    <row r="83" spans="11:26" ht="13.8" thickBot="1" x14ac:dyDescent="0.3">
      <c r="K83" s="13"/>
      <c r="L83" s="14"/>
      <c r="O83" s="9" t="s">
        <v>65</v>
      </c>
      <c r="P83" s="11"/>
      <c r="R83" s="73"/>
      <c r="S83" s="90"/>
      <c r="U83" s="90"/>
      <c r="W83" s="72"/>
      <c r="Z83" s="73"/>
    </row>
    <row r="84" spans="11:26" ht="13.8" thickBot="1" x14ac:dyDescent="0.3">
      <c r="O84" s="13"/>
      <c r="P84" s="14"/>
      <c r="Q84" s="75"/>
      <c r="R84" s="76"/>
      <c r="S84" s="14"/>
      <c r="U84" s="90"/>
      <c r="W84" s="72"/>
      <c r="Z84" s="73"/>
    </row>
    <row r="85" spans="11:26" ht="18" thickBot="1" x14ac:dyDescent="0.35">
      <c r="K85" s="3" t="s">
        <v>82</v>
      </c>
      <c r="L85" s="4"/>
      <c r="U85" s="90"/>
      <c r="W85" s="72"/>
      <c r="Z85" s="73"/>
    </row>
    <row r="86" spans="11:26" ht="17.399999999999999" x14ac:dyDescent="0.3">
      <c r="K86" s="5"/>
      <c r="L86" s="6">
        <v>2</v>
      </c>
      <c r="N86" s="94" t="s">
        <v>91</v>
      </c>
      <c r="O86" s="70"/>
      <c r="P86" s="70"/>
      <c r="Q86" s="70"/>
      <c r="R86" s="71"/>
      <c r="U86" s="90"/>
      <c r="W86" s="72"/>
      <c r="Z86" s="73"/>
    </row>
    <row r="87" spans="11:26" ht="13.8" thickBot="1" x14ac:dyDescent="0.3">
      <c r="K87" s="7" t="s">
        <v>85</v>
      </c>
      <c r="L87" s="8"/>
      <c r="N87" s="72"/>
      <c r="R87" s="73"/>
      <c r="U87" s="90"/>
      <c r="W87" s="72"/>
      <c r="Z87" s="73"/>
    </row>
    <row r="88" spans="11:26" x14ac:dyDescent="0.25">
      <c r="K88" s="9" t="s">
        <v>64</v>
      </c>
      <c r="L88" s="10">
        <v>16</v>
      </c>
      <c r="N88" s="72"/>
      <c r="R88" s="73"/>
      <c r="U88" s="90"/>
      <c r="W88" s="72"/>
      <c r="Z88" s="73"/>
    </row>
    <row r="89" spans="11:26" ht="13.8" thickBot="1" x14ac:dyDescent="0.3">
      <c r="K89" s="9" t="s">
        <v>6</v>
      </c>
      <c r="L89" s="11">
        <v>0.3</v>
      </c>
      <c r="N89" s="72"/>
      <c r="R89" s="73"/>
      <c r="U89" s="90"/>
      <c r="W89" s="74"/>
      <c r="X89" s="75"/>
      <c r="Y89" s="75"/>
      <c r="Z89" s="76"/>
    </row>
    <row r="90" spans="11:26" x14ac:dyDescent="0.25">
      <c r="K90" s="9" t="s">
        <v>4</v>
      </c>
      <c r="L90" s="12">
        <v>0.2</v>
      </c>
      <c r="N90" s="72"/>
      <c r="R90" s="73"/>
      <c r="U90" s="90"/>
      <c r="W90" s="94" t="s">
        <v>97</v>
      </c>
      <c r="X90" s="70"/>
      <c r="Y90" s="70"/>
      <c r="Z90" s="71"/>
    </row>
    <row r="91" spans="11:26" x14ac:dyDescent="0.25">
      <c r="K91" s="9" t="s">
        <v>68</v>
      </c>
      <c r="L91" s="11">
        <v>14</v>
      </c>
      <c r="N91" s="72"/>
      <c r="R91" s="73"/>
      <c r="U91" s="90"/>
      <c r="W91" s="72"/>
      <c r="Z91" s="73"/>
    </row>
    <row r="92" spans="11:26" x14ac:dyDescent="0.25">
      <c r="K92" s="9" t="s">
        <v>16</v>
      </c>
      <c r="L92" s="96">
        <f>+(92-60)/90</f>
        <v>0.35555555555555557</v>
      </c>
      <c r="N92" s="72"/>
      <c r="R92" s="73"/>
      <c r="U92" s="90"/>
      <c r="W92" s="72"/>
      <c r="Z92" s="73"/>
    </row>
    <row r="93" spans="11:26" x14ac:dyDescent="0.25">
      <c r="K93" s="9" t="s">
        <v>65</v>
      </c>
      <c r="L93" s="11"/>
      <c r="N93" s="72"/>
      <c r="R93" s="73"/>
      <c r="U93" s="90"/>
      <c r="W93" s="72"/>
      <c r="Z93" s="73"/>
    </row>
    <row r="94" spans="11:26" ht="13.8" thickBot="1" x14ac:dyDescent="0.3">
      <c r="K94" s="13"/>
      <c r="L94" s="14"/>
      <c r="N94" s="74"/>
      <c r="O94" s="75"/>
      <c r="P94" s="75"/>
      <c r="Q94" s="75"/>
      <c r="R94" s="76"/>
      <c r="U94" s="90"/>
      <c r="W94" s="72"/>
      <c r="Z94" s="73"/>
    </row>
    <row r="95" spans="11:26" x14ac:dyDescent="0.25">
      <c r="K95" s="85"/>
      <c r="U95" s="90"/>
      <c r="W95" s="72"/>
      <c r="Z95" s="73"/>
    </row>
    <row r="96" spans="11:26" x14ac:dyDescent="0.25">
      <c r="K96" s="85"/>
      <c r="U96" s="90"/>
      <c r="W96" s="72"/>
      <c r="Z96" s="73"/>
    </row>
    <row r="97" spans="11:26" ht="13.8" thickBot="1" x14ac:dyDescent="0.3">
      <c r="U97" s="14"/>
      <c r="W97" s="72"/>
      <c r="Z97" s="73"/>
    </row>
    <row r="98" spans="11:26" ht="17.399999999999999" x14ac:dyDescent="0.3">
      <c r="K98" s="3" t="s">
        <v>86</v>
      </c>
      <c r="L98" s="4"/>
      <c r="W98" s="72"/>
      <c r="Z98" s="73"/>
    </row>
    <row r="99" spans="11:26" ht="17.399999999999999" x14ac:dyDescent="0.3">
      <c r="K99" s="5"/>
      <c r="L99" s="6">
        <v>1</v>
      </c>
      <c r="W99" s="72"/>
      <c r="Z99" s="73"/>
    </row>
    <row r="100" spans="11:26" ht="13.8" thickBot="1" x14ac:dyDescent="0.3">
      <c r="K100" s="7" t="s">
        <v>87</v>
      </c>
      <c r="L100" s="8"/>
      <c r="W100" s="72"/>
      <c r="Z100" s="73"/>
    </row>
    <row r="101" spans="11:26" x14ac:dyDescent="0.25">
      <c r="K101" s="9" t="s">
        <v>64</v>
      </c>
      <c r="L101" s="10">
        <v>8</v>
      </c>
      <c r="W101" s="72"/>
      <c r="Z101" s="73"/>
    </row>
    <row r="102" spans="11:26" x14ac:dyDescent="0.25">
      <c r="K102" s="9" t="s">
        <v>6</v>
      </c>
      <c r="L102" s="11">
        <v>1.6</v>
      </c>
      <c r="W102" s="72"/>
      <c r="Z102" s="73"/>
    </row>
    <row r="103" spans="11:26" x14ac:dyDescent="0.25">
      <c r="K103" s="9" t="s">
        <v>4</v>
      </c>
      <c r="L103" s="12">
        <v>0.5</v>
      </c>
      <c r="W103" s="72"/>
      <c r="Z103" s="73"/>
    </row>
    <row r="104" spans="11:26" x14ac:dyDescent="0.25">
      <c r="K104" s="9" t="s">
        <v>68</v>
      </c>
      <c r="L104" s="11">
        <v>6</v>
      </c>
      <c r="W104" s="72"/>
      <c r="Z104" s="73"/>
    </row>
    <row r="105" spans="11:26" ht="13.8" thickBot="1" x14ac:dyDescent="0.3">
      <c r="K105" s="9" t="s">
        <v>16</v>
      </c>
      <c r="L105" s="96">
        <f>+(92-3)/92</f>
        <v>0.96739130434782605</v>
      </c>
      <c r="W105" s="74"/>
      <c r="X105" s="75"/>
      <c r="Y105" s="75"/>
      <c r="Z105" s="76"/>
    </row>
    <row r="106" spans="11:26" x14ac:dyDescent="0.25">
      <c r="K106" s="9" t="s">
        <v>65</v>
      </c>
      <c r="L106" s="11"/>
    </row>
    <row r="107" spans="11:26" ht="13.8" thickBot="1" x14ac:dyDescent="0.3">
      <c r="K107" s="13"/>
      <c r="L107" s="14"/>
    </row>
  </sheetData>
  <mergeCells count="2">
    <mergeCell ref="U63:U78"/>
    <mergeCell ref="S65:S75"/>
  </mergeCells>
  <phoneticPr fontId="1" type="noConversion"/>
  <pageMargins left="0.75" right="0.75" top="1" bottom="1" header="0" footer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19706-1542-4F2C-9FBA-6E2EFD1BB7D3}">
  <dimension ref="B1:AC107"/>
  <sheetViews>
    <sheetView workbookViewId="0">
      <selection activeCell="B16" sqref="B16"/>
    </sheetView>
  </sheetViews>
  <sheetFormatPr baseColWidth="10" defaultColWidth="11.44140625" defaultRowHeight="13.2" x14ac:dyDescent="0.25"/>
  <cols>
    <col min="1" max="7" width="11.44140625" style="2"/>
    <col min="8" max="8" width="16.5546875" style="2" customWidth="1"/>
    <col min="9" max="10" width="11.44140625" style="2"/>
    <col min="11" max="11" width="12.6640625" style="2" customWidth="1"/>
    <col min="12" max="12" width="7.6640625" style="2" customWidth="1"/>
    <col min="13" max="21" width="11.44140625" style="2"/>
    <col min="22" max="22" width="16" style="2" customWidth="1"/>
    <col min="23" max="16384" width="11.44140625" style="2"/>
  </cols>
  <sheetData>
    <row r="1" spans="13:26" ht="18" thickBot="1" x14ac:dyDescent="0.35">
      <c r="V1" s="3" t="s">
        <v>88</v>
      </c>
      <c r="W1" s="4"/>
      <c r="X1" s="77"/>
    </row>
    <row r="2" spans="13:26" ht="17.399999999999999" x14ac:dyDescent="0.3">
      <c r="M2" s="94" t="s">
        <v>100</v>
      </c>
      <c r="N2" s="70"/>
      <c r="O2" s="70"/>
      <c r="P2" s="70"/>
      <c r="Q2" s="70"/>
      <c r="R2" s="70"/>
      <c r="S2" s="70"/>
      <c r="V2" s="5"/>
      <c r="W2" s="6">
        <v>4</v>
      </c>
      <c r="X2" s="78"/>
      <c r="Y2" s="70"/>
      <c r="Z2" s="71"/>
    </row>
    <row r="3" spans="13:26" ht="13.8" thickBot="1" x14ac:dyDescent="0.3">
      <c r="M3" s="72"/>
      <c r="V3" s="7" t="s">
        <v>79</v>
      </c>
      <c r="W3" s="8"/>
      <c r="X3" s="79"/>
      <c r="Z3" s="73"/>
    </row>
    <row r="4" spans="13:26" x14ac:dyDescent="0.25">
      <c r="M4" s="72"/>
      <c r="V4" s="9" t="s">
        <v>64</v>
      </c>
      <c r="W4" s="10">
        <v>16</v>
      </c>
      <c r="X4" s="80"/>
      <c r="Z4" s="73"/>
    </row>
    <row r="5" spans="13:26" x14ac:dyDescent="0.25">
      <c r="M5" s="72"/>
      <c r="V5" s="9" t="s">
        <v>6</v>
      </c>
      <c r="W5" s="11">
        <v>1</v>
      </c>
      <c r="X5" s="80"/>
      <c r="Z5" s="73"/>
    </row>
    <row r="6" spans="13:26" x14ac:dyDescent="0.25">
      <c r="M6" s="72"/>
      <c r="V6" s="9" t="s">
        <v>4</v>
      </c>
      <c r="W6" s="12">
        <v>0.2</v>
      </c>
      <c r="X6" s="81"/>
      <c r="Z6" s="73"/>
    </row>
    <row r="7" spans="13:26" x14ac:dyDescent="0.25">
      <c r="M7" s="72"/>
      <c r="V7" s="9" t="s">
        <v>68</v>
      </c>
      <c r="W7" s="11">
        <v>12</v>
      </c>
      <c r="X7" s="80"/>
      <c r="Z7" s="73"/>
    </row>
    <row r="8" spans="13:26" ht="13.8" thickBot="1" x14ac:dyDescent="0.3">
      <c r="M8" s="74"/>
      <c r="N8" s="75"/>
      <c r="O8" s="75"/>
      <c r="P8" s="75"/>
      <c r="Q8" s="75"/>
      <c r="R8" s="75"/>
      <c r="S8" s="75"/>
      <c r="V8" s="9" t="s">
        <v>16</v>
      </c>
      <c r="W8" s="96">
        <f>+(18-1)/18</f>
        <v>0.94444444444444442</v>
      </c>
      <c r="X8" s="98"/>
      <c r="Y8" s="75"/>
      <c r="Z8" s="76"/>
    </row>
    <row r="9" spans="13:26" x14ac:dyDescent="0.25">
      <c r="V9" s="9" t="s">
        <v>65</v>
      </c>
      <c r="W9" s="11"/>
      <c r="X9" s="80"/>
    </row>
    <row r="10" spans="13:26" ht="13.8" thickBot="1" x14ac:dyDescent="0.3">
      <c r="V10" s="13"/>
      <c r="W10" s="14"/>
    </row>
    <row r="17" spans="2:16" ht="18" thickBot="1" x14ac:dyDescent="0.35">
      <c r="K17" s="82" t="s">
        <v>114</v>
      </c>
    </row>
    <row r="18" spans="2:16" x14ac:dyDescent="0.25">
      <c r="C18" s="94" t="s">
        <v>99</v>
      </c>
      <c r="D18" s="70"/>
      <c r="E18" s="70"/>
      <c r="F18" s="70"/>
      <c r="G18" s="70"/>
      <c r="H18" s="71"/>
      <c r="L18" s="2" t="s">
        <v>115</v>
      </c>
    </row>
    <row r="19" spans="2:16" ht="13.8" thickBot="1" x14ac:dyDescent="0.3">
      <c r="C19" s="72"/>
      <c r="H19" s="73"/>
    </row>
    <row r="20" spans="2:16" x14ac:dyDescent="0.25">
      <c r="C20" s="72"/>
      <c r="H20" s="73"/>
      <c r="L20" s="94" t="s">
        <v>103</v>
      </c>
      <c r="M20" s="100">
        <v>16</v>
      </c>
      <c r="N20" s="101">
        <f>+M20/M21</f>
        <v>0.47058823529411764</v>
      </c>
      <c r="O20" s="102" t="s">
        <v>106</v>
      </c>
    </row>
    <row r="21" spans="2:16" ht="13.8" thickBot="1" x14ac:dyDescent="0.3">
      <c r="C21" s="72"/>
      <c r="H21" s="73"/>
      <c r="L21" s="13"/>
      <c r="M21" s="103">
        <v>34</v>
      </c>
      <c r="N21" s="103"/>
      <c r="O21" s="104"/>
    </row>
    <row r="22" spans="2:16" ht="15.6" thickBot="1" x14ac:dyDescent="0.3">
      <c r="B22" s="69"/>
      <c r="C22" s="95" t="s">
        <v>92</v>
      </c>
      <c r="D22" s="70"/>
      <c r="E22" s="70"/>
      <c r="F22" s="70"/>
      <c r="G22" s="70"/>
      <c r="H22" s="71"/>
    </row>
    <row r="23" spans="2:16" x14ac:dyDescent="0.25">
      <c r="B23" s="72"/>
      <c r="C23" s="72"/>
      <c r="H23" s="73"/>
      <c r="L23" s="94" t="s">
        <v>105</v>
      </c>
      <c r="M23" s="100">
        <v>16</v>
      </c>
      <c r="N23" s="101">
        <f>+M23/M24</f>
        <v>1.4545454545454546</v>
      </c>
      <c r="O23" s="100" t="s">
        <v>106</v>
      </c>
      <c r="P23" s="102"/>
    </row>
    <row r="24" spans="2:16" ht="13.8" thickBot="1" x14ac:dyDescent="0.3">
      <c r="B24" s="72"/>
      <c r="C24" s="9" t="s">
        <v>93</v>
      </c>
      <c r="F24" s="85" t="s">
        <v>91</v>
      </c>
      <c r="H24" s="73"/>
      <c r="L24" s="13"/>
      <c r="M24" s="103">
        <v>11</v>
      </c>
      <c r="N24" s="103"/>
      <c r="O24" s="103"/>
      <c r="P24" s="104"/>
    </row>
    <row r="25" spans="2:16" ht="13.8" thickBot="1" x14ac:dyDescent="0.3">
      <c r="B25" s="72"/>
      <c r="C25" s="72"/>
      <c r="F25" s="110"/>
      <c r="H25" s="73"/>
    </row>
    <row r="26" spans="2:16" x14ac:dyDescent="0.25">
      <c r="B26" s="72"/>
      <c r="C26" s="72"/>
      <c r="H26" s="73"/>
    </row>
    <row r="27" spans="2:16" x14ac:dyDescent="0.25">
      <c r="B27" s="72"/>
      <c r="C27" s="72"/>
      <c r="H27" s="73"/>
    </row>
    <row r="28" spans="2:16" x14ac:dyDescent="0.25">
      <c r="B28" s="72"/>
      <c r="C28" s="72"/>
      <c r="H28" s="73"/>
    </row>
    <row r="29" spans="2:16" x14ac:dyDescent="0.25">
      <c r="B29" s="72"/>
      <c r="C29" s="72"/>
      <c r="H29" s="73"/>
    </row>
    <row r="30" spans="2:16" x14ac:dyDescent="0.25">
      <c r="B30" s="72"/>
      <c r="C30" s="72"/>
      <c r="H30" s="73"/>
    </row>
    <row r="31" spans="2:16" ht="24" x14ac:dyDescent="0.35">
      <c r="B31" s="72"/>
      <c r="C31" s="86" t="s">
        <v>108</v>
      </c>
      <c r="D31" s="86"/>
      <c r="E31" s="87"/>
      <c r="F31" s="87"/>
      <c r="G31" s="85"/>
      <c r="H31" s="88"/>
    </row>
    <row r="32" spans="2:16" x14ac:dyDescent="0.25">
      <c r="B32" s="72"/>
      <c r="C32" s="9" t="s">
        <v>113</v>
      </c>
      <c r="H32" s="73"/>
    </row>
    <row r="33" spans="2:18" x14ac:dyDescent="0.25">
      <c r="B33" s="72"/>
      <c r="C33" s="72"/>
      <c r="H33" s="73"/>
    </row>
    <row r="34" spans="2:18" x14ac:dyDescent="0.25">
      <c r="B34" s="72"/>
      <c r="C34" s="72"/>
      <c r="H34" s="73"/>
    </row>
    <row r="35" spans="2:18" ht="13.8" thickBot="1" x14ac:dyDescent="0.3">
      <c r="B35" s="72"/>
      <c r="C35" s="72"/>
      <c r="H35" s="73"/>
    </row>
    <row r="36" spans="2:18" ht="17.399999999999999" x14ac:dyDescent="0.3">
      <c r="B36" s="72"/>
      <c r="C36" s="72"/>
      <c r="H36" s="73"/>
      <c r="K36" s="3" t="s">
        <v>81</v>
      </c>
      <c r="L36" s="4"/>
    </row>
    <row r="37" spans="2:18" ht="17.399999999999999" x14ac:dyDescent="0.3">
      <c r="B37" s="72"/>
      <c r="C37" s="72"/>
      <c r="H37" s="73"/>
      <c r="K37" s="5"/>
      <c r="L37" s="6"/>
    </row>
    <row r="38" spans="2:18" ht="13.8" thickBot="1" x14ac:dyDescent="0.3">
      <c r="B38" s="72"/>
      <c r="C38" s="72"/>
      <c r="H38" s="73"/>
      <c r="K38" s="7" t="s">
        <v>79</v>
      </c>
      <c r="L38" s="8"/>
    </row>
    <row r="39" spans="2:18" x14ac:dyDescent="0.25">
      <c r="B39" s="72"/>
      <c r="C39" s="72"/>
      <c r="H39" s="73"/>
      <c r="K39" s="9" t="s">
        <v>64</v>
      </c>
      <c r="L39" s="10">
        <v>16</v>
      </c>
    </row>
    <row r="40" spans="2:18" x14ac:dyDescent="0.25">
      <c r="B40" s="72"/>
      <c r="C40" s="72"/>
      <c r="H40" s="73"/>
      <c r="K40" s="9" t="s">
        <v>6</v>
      </c>
      <c r="L40" s="11">
        <v>3</v>
      </c>
    </row>
    <row r="41" spans="2:18" x14ac:dyDescent="0.25">
      <c r="B41" s="72"/>
      <c r="C41" s="72"/>
      <c r="H41" s="73"/>
      <c r="K41" s="9" t="s">
        <v>4</v>
      </c>
      <c r="L41" s="12">
        <v>0.5</v>
      </c>
    </row>
    <row r="42" spans="2:18" x14ac:dyDescent="0.25">
      <c r="B42" s="72"/>
      <c r="C42" s="72"/>
      <c r="H42" s="73"/>
      <c r="K42" s="9" t="s">
        <v>68</v>
      </c>
      <c r="L42" s="11">
        <v>14</v>
      </c>
    </row>
    <row r="43" spans="2:18" ht="13.8" thickBot="1" x14ac:dyDescent="0.3">
      <c r="B43" s="74"/>
      <c r="C43" s="74"/>
      <c r="D43" s="75"/>
      <c r="E43" s="75"/>
      <c r="F43" s="75"/>
      <c r="G43" s="75"/>
      <c r="H43" s="76"/>
      <c r="K43" s="9" t="s">
        <v>16</v>
      </c>
      <c r="L43" s="96">
        <f>+(120-15)/120</f>
        <v>0.875</v>
      </c>
    </row>
    <row r="44" spans="2:18" x14ac:dyDescent="0.25">
      <c r="K44" s="9" t="s">
        <v>65</v>
      </c>
      <c r="L44" s="11"/>
    </row>
    <row r="45" spans="2:18" ht="13.8" thickBot="1" x14ac:dyDescent="0.3">
      <c r="K45" s="13"/>
      <c r="L45" s="14"/>
    </row>
    <row r="46" spans="2:18" ht="13.8" thickBot="1" x14ac:dyDescent="0.3"/>
    <row r="47" spans="2:18" ht="17.399999999999999" x14ac:dyDescent="0.3">
      <c r="K47" s="3" t="s">
        <v>81</v>
      </c>
      <c r="L47" s="4"/>
      <c r="O47" s="108" t="s">
        <v>98</v>
      </c>
      <c r="P47" s="70"/>
      <c r="Q47" s="70"/>
      <c r="R47" s="71"/>
    </row>
    <row r="48" spans="2:18" ht="17.399999999999999" x14ac:dyDescent="0.3">
      <c r="K48" s="5"/>
      <c r="L48" s="6">
        <v>2</v>
      </c>
      <c r="O48" s="72"/>
      <c r="R48" s="73"/>
    </row>
    <row r="49" spans="3:29" ht="13.8" thickBot="1" x14ac:dyDescent="0.3">
      <c r="K49" s="7" t="s">
        <v>80</v>
      </c>
      <c r="L49" s="8"/>
      <c r="O49" s="72"/>
      <c r="R49" s="73"/>
    </row>
    <row r="50" spans="3:29" x14ac:dyDescent="0.25">
      <c r="K50" s="9" t="s">
        <v>64</v>
      </c>
      <c r="L50" s="10">
        <v>16</v>
      </c>
      <c r="O50" s="72"/>
      <c r="R50" s="73"/>
    </row>
    <row r="51" spans="3:29" x14ac:dyDescent="0.25">
      <c r="K51" s="9" t="s">
        <v>6</v>
      </c>
      <c r="L51" s="11">
        <v>3</v>
      </c>
      <c r="O51" s="72"/>
      <c r="R51" s="73"/>
    </row>
    <row r="52" spans="3:29" x14ac:dyDescent="0.25">
      <c r="K52" s="9" t="s">
        <v>4</v>
      </c>
      <c r="L52" s="12">
        <v>0.5</v>
      </c>
      <c r="O52" s="72"/>
      <c r="R52" s="73"/>
    </row>
    <row r="53" spans="3:29" x14ac:dyDescent="0.25">
      <c r="K53" s="9" t="s">
        <v>68</v>
      </c>
      <c r="L53" s="11">
        <v>12</v>
      </c>
      <c r="O53" s="72"/>
      <c r="R53" s="73"/>
    </row>
    <row r="54" spans="3:29" x14ac:dyDescent="0.25">
      <c r="K54" s="9" t="s">
        <v>16</v>
      </c>
      <c r="L54" s="96">
        <f>+(260-5)/260</f>
        <v>0.98076923076923073</v>
      </c>
      <c r="O54" s="72"/>
      <c r="R54" s="73"/>
    </row>
    <row r="55" spans="3:29" x14ac:dyDescent="0.25">
      <c r="K55" s="9" t="s">
        <v>65</v>
      </c>
      <c r="L55" s="11"/>
      <c r="O55" s="72"/>
      <c r="R55" s="73"/>
    </row>
    <row r="56" spans="3:29" ht="13.8" thickBot="1" x14ac:dyDescent="0.3">
      <c r="K56" s="13"/>
      <c r="L56" s="14"/>
      <c r="O56" s="72"/>
      <c r="R56" s="73"/>
    </row>
    <row r="57" spans="3:29" ht="13.8" thickBot="1" x14ac:dyDescent="0.3">
      <c r="C57" s="85"/>
      <c r="O57" s="72"/>
      <c r="R57" s="73"/>
    </row>
    <row r="58" spans="3:29" ht="17.399999999999999" x14ac:dyDescent="0.3">
      <c r="C58" s="85"/>
      <c r="O58" s="72"/>
      <c r="R58" s="73"/>
      <c r="U58" s="3" t="s">
        <v>110</v>
      </c>
      <c r="V58" s="4"/>
    </row>
    <row r="59" spans="3:29" ht="17.399999999999999" x14ac:dyDescent="0.3">
      <c r="C59" s="85"/>
      <c r="O59" s="72"/>
      <c r="R59" s="73"/>
      <c r="U59" s="5"/>
      <c r="V59" s="6">
        <v>8</v>
      </c>
    </row>
    <row r="60" spans="3:29" ht="18" thickBot="1" x14ac:dyDescent="0.35">
      <c r="C60" s="82"/>
      <c r="D60" s="82"/>
      <c r="E60" s="82"/>
      <c r="O60" s="72"/>
      <c r="R60" s="73"/>
      <c r="U60" s="7" t="s">
        <v>109</v>
      </c>
      <c r="V60" s="8"/>
    </row>
    <row r="61" spans="3:29" ht="17.399999999999999" x14ac:dyDescent="0.3">
      <c r="C61" s="107"/>
      <c r="D61" s="83"/>
      <c r="E61" s="83"/>
      <c r="O61" s="72"/>
      <c r="R61" s="73"/>
      <c r="U61" s="9" t="s">
        <v>64</v>
      </c>
      <c r="V61" s="10">
        <v>16</v>
      </c>
    </row>
    <row r="62" spans="3:29" ht="13.8" thickBot="1" x14ac:dyDescent="0.3">
      <c r="C62" s="85"/>
      <c r="D62" s="84"/>
      <c r="E62" s="84"/>
      <c r="O62" s="72"/>
      <c r="R62" s="73"/>
      <c r="U62" s="9" t="s">
        <v>6</v>
      </c>
      <c r="V62" s="11">
        <v>1</v>
      </c>
    </row>
    <row r="63" spans="3:29" ht="18" thickBot="1" x14ac:dyDescent="0.35">
      <c r="C63" s="85"/>
      <c r="D63" s="80"/>
      <c r="E63" s="80"/>
      <c r="F63" s="82"/>
      <c r="G63" s="82"/>
      <c r="H63" s="82"/>
      <c r="K63" s="3" t="s">
        <v>82</v>
      </c>
      <c r="L63" s="4"/>
      <c r="O63" s="74"/>
      <c r="P63" s="75"/>
      <c r="Q63" s="75"/>
      <c r="R63" s="76"/>
      <c r="U63" s="9" t="s">
        <v>4</v>
      </c>
      <c r="V63" s="12">
        <v>0.2</v>
      </c>
      <c r="W63" s="223" t="s">
        <v>112</v>
      </c>
      <c r="X63" s="91"/>
    </row>
    <row r="64" spans="3:29" ht="17.399999999999999" x14ac:dyDescent="0.3">
      <c r="C64" s="85"/>
      <c r="D64" s="80"/>
      <c r="E64" s="80"/>
      <c r="F64" s="83"/>
      <c r="G64" s="83"/>
      <c r="H64" s="83"/>
      <c r="K64" s="5"/>
      <c r="L64" s="6">
        <v>2</v>
      </c>
      <c r="O64" s="94"/>
      <c r="P64" s="70"/>
      <c r="Q64" s="70"/>
      <c r="R64" s="71"/>
      <c r="S64" s="89"/>
      <c r="U64" s="9" t="s">
        <v>68</v>
      </c>
      <c r="V64" s="11">
        <v>12</v>
      </c>
      <c r="W64" s="224"/>
      <c r="X64" s="92"/>
      <c r="Z64" s="94" t="s">
        <v>95</v>
      </c>
      <c r="AA64" s="70"/>
      <c r="AB64" s="70"/>
      <c r="AC64" s="71"/>
    </row>
    <row r="65" spans="3:29" ht="13.8" thickBot="1" x14ac:dyDescent="0.3">
      <c r="C65" s="85"/>
      <c r="D65" s="81"/>
      <c r="E65" s="81"/>
      <c r="F65" s="84"/>
      <c r="G65" s="84"/>
      <c r="H65" s="84"/>
      <c r="K65" s="7" t="s">
        <v>83</v>
      </c>
      <c r="L65" s="8"/>
      <c r="O65" s="72"/>
      <c r="R65" s="73"/>
      <c r="S65" s="225" t="s">
        <v>90</v>
      </c>
      <c r="T65" s="105"/>
      <c r="U65" s="9" t="s">
        <v>16</v>
      </c>
      <c r="V65" s="96">
        <f>+(260-5)/260</f>
        <v>0.98076923076923073</v>
      </c>
      <c r="W65" s="224"/>
      <c r="X65" s="92"/>
      <c r="Z65" s="72"/>
      <c r="AC65" s="73"/>
    </row>
    <row r="66" spans="3:29" x14ac:dyDescent="0.25">
      <c r="C66" s="85"/>
      <c r="D66" s="80"/>
      <c r="E66" s="80"/>
      <c r="F66" s="80"/>
      <c r="G66" s="80"/>
      <c r="H66" s="80"/>
      <c r="K66" s="9" t="s">
        <v>64</v>
      </c>
      <c r="L66" s="10">
        <v>16</v>
      </c>
      <c r="O66" s="72"/>
      <c r="R66" s="73"/>
      <c r="S66" s="226"/>
      <c r="T66" s="106"/>
      <c r="U66" s="9" t="s">
        <v>65</v>
      </c>
      <c r="V66" s="11"/>
      <c r="W66" s="224"/>
      <c r="X66" s="92"/>
      <c r="Z66" s="72"/>
      <c r="AC66" s="73"/>
    </row>
    <row r="67" spans="3:29" ht="13.8" thickBot="1" x14ac:dyDescent="0.3">
      <c r="C67" s="85"/>
      <c r="D67" s="98"/>
      <c r="E67" s="98"/>
      <c r="F67" s="80"/>
      <c r="G67" s="80"/>
      <c r="H67" s="80"/>
      <c r="K67" s="9" t="s">
        <v>6</v>
      </c>
      <c r="L67" s="11">
        <v>0.2</v>
      </c>
      <c r="O67" s="72"/>
      <c r="R67" s="73"/>
      <c r="S67" s="226"/>
      <c r="T67" s="106"/>
      <c r="U67" s="13"/>
      <c r="V67" s="14"/>
      <c r="W67" s="224"/>
      <c r="X67" s="92"/>
      <c r="Z67" s="72"/>
      <c r="AC67" s="73"/>
    </row>
    <row r="68" spans="3:29" x14ac:dyDescent="0.25">
      <c r="C68" s="85"/>
      <c r="D68" s="80"/>
      <c r="E68" s="80"/>
      <c r="F68" s="81"/>
      <c r="G68" s="81"/>
      <c r="H68" s="81"/>
      <c r="K68" s="9" t="s">
        <v>4</v>
      </c>
      <c r="L68" s="12">
        <v>0.1</v>
      </c>
      <c r="O68" s="72"/>
      <c r="R68" s="73"/>
      <c r="S68" s="226"/>
      <c r="T68" s="106"/>
      <c r="U68" s="93"/>
      <c r="W68" s="224"/>
      <c r="X68" s="92"/>
      <c r="Z68" s="72"/>
      <c r="AC68" s="73"/>
    </row>
    <row r="69" spans="3:29" x14ac:dyDescent="0.25">
      <c r="C69" s="85"/>
      <c r="F69" s="80"/>
      <c r="G69" s="80"/>
      <c r="H69" s="80"/>
      <c r="K69" s="9" t="s">
        <v>68</v>
      </c>
      <c r="L69" s="11">
        <v>14</v>
      </c>
      <c r="O69" s="72"/>
      <c r="R69" s="73"/>
      <c r="S69" s="226"/>
      <c r="T69" s="106"/>
      <c r="U69" s="93"/>
      <c r="W69" s="224"/>
      <c r="X69" s="92"/>
      <c r="Z69" s="72"/>
      <c r="AC69" s="73"/>
    </row>
    <row r="70" spans="3:29" x14ac:dyDescent="0.25">
      <c r="F70" s="80"/>
      <c r="G70" s="80"/>
      <c r="H70" s="80"/>
      <c r="K70" s="9" t="s">
        <v>16</v>
      </c>
      <c r="L70" s="96">
        <f>+(123-4)/123</f>
        <v>0.96747967479674801</v>
      </c>
      <c r="O70" s="72"/>
      <c r="R70" s="73"/>
      <c r="S70" s="226"/>
      <c r="T70" s="106"/>
      <c r="U70" s="93"/>
      <c r="W70" s="224"/>
      <c r="X70" s="92"/>
      <c r="Z70" s="72"/>
      <c r="AC70" s="73"/>
    </row>
    <row r="71" spans="3:29" x14ac:dyDescent="0.25">
      <c r="F71" s="80"/>
      <c r="G71" s="80"/>
      <c r="H71" s="80"/>
      <c r="K71" s="9" t="s">
        <v>65</v>
      </c>
      <c r="L71" s="11"/>
      <c r="O71" s="72"/>
      <c r="R71" s="73"/>
      <c r="S71" s="226"/>
      <c r="T71" s="106"/>
      <c r="U71" s="93"/>
      <c r="W71" s="224"/>
      <c r="X71" s="92"/>
      <c r="Z71" s="72"/>
      <c r="AC71" s="73"/>
    </row>
    <row r="72" spans="3:29" ht="13.8" thickBot="1" x14ac:dyDescent="0.3">
      <c r="K72" s="13"/>
      <c r="L72" s="14"/>
      <c r="O72" s="72"/>
      <c r="R72" s="73"/>
      <c r="S72" s="226"/>
      <c r="T72" s="106"/>
      <c r="U72" s="93"/>
      <c r="W72" s="224"/>
      <c r="X72" s="92"/>
      <c r="Z72" s="72"/>
      <c r="AC72" s="73"/>
    </row>
    <row r="73" spans="3:29" ht="13.8" thickBot="1" x14ac:dyDescent="0.3">
      <c r="O73" s="72"/>
      <c r="R73" s="73"/>
      <c r="S73" s="226"/>
      <c r="T73" s="106"/>
      <c r="U73" s="93"/>
      <c r="W73" s="224"/>
      <c r="X73" s="92"/>
      <c r="Z73" s="72"/>
      <c r="AC73" s="73"/>
    </row>
    <row r="74" spans="3:29" ht="18" thickBot="1" x14ac:dyDescent="0.35">
      <c r="K74" s="3" t="s">
        <v>81</v>
      </c>
      <c r="L74" s="4"/>
      <c r="O74" s="109" t="s">
        <v>101</v>
      </c>
      <c r="P74" s="70"/>
      <c r="Q74" s="70"/>
      <c r="R74" s="71"/>
      <c r="S74" s="226"/>
      <c r="T74" s="106"/>
      <c r="U74" s="93"/>
      <c r="W74" s="224"/>
      <c r="X74" s="92"/>
      <c r="Z74" s="72"/>
      <c r="AC74" s="73"/>
    </row>
    <row r="75" spans="3:29" ht="17.399999999999999" customHeight="1" x14ac:dyDescent="0.3">
      <c r="K75" s="5"/>
      <c r="L75" s="6">
        <v>2</v>
      </c>
      <c r="O75" s="97" t="s">
        <v>102</v>
      </c>
      <c r="P75" s="4"/>
      <c r="R75" s="73"/>
      <c r="S75" s="226"/>
      <c r="T75" s="106"/>
      <c r="U75" s="93"/>
      <c r="W75" s="224"/>
      <c r="X75" s="92"/>
      <c r="Z75" s="72"/>
      <c r="AC75" s="73"/>
    </row>
    <row r="76" spans="3:29" ht="18" thickBot="1" x14ac:dyDescent="0.35">
      <c r="K76" s="7" t="s">
        <v>84</v>
      </c>
      <c r="L76" s="8"/>
      <c r="O76" s="5"/>
      <c r="P76" s="6">
        <v>12</v>
      </c>
      <c r="R76" s="73"/>
      <c r="S76" s="90"/>
      <c r="U76" s="90"/>
      <c r="W76" s="224"/>
      <c r="X76" s="92"/>
      <c r="Z76" s="74"/>
      <c r="AA76" s="75"/>
      <c r="AB76" s="75"/>
      <c r="AC76" s="76"/>
    </row>
    <row r="77" spans="3:29" ht="13.8" thickBot="1" x14ac:dyDescent="0.3">
      <c r="K77" s="9" t="s">
        <v>64</v>
      </c>
      <c r="L77" s="10">
        <v>16</v>
      </c>
      <c r="O77" s="7" t="s">
        <v>84</v>
      </c>
      <c r="P77" s="8"/>
      <c r="R77" s="73"/>
      <c r="S77" s="90"/>
      <c r="U77" s="90"/>
      <c r="W77" s="224"/>
      <c r="X77" s="92"/>
      <c r="Z77" s="94" t="s">
        <v>96</v>
      </c>
      <c r="AA77" s="70"/>
      <c r="AB77" s="70"/>
      <c r="AC77" s="71"/>
    </row>
    <row r="78" spans="3:29" ht="13.2" customHeight="1" x14ac:dyDescent="0.25">
      <c r="K78" s="9" t="s">
        <v>6</v>
      </c>
      <c r="L78" s="11">
        <v>3</v>
      </c>
      <c r="O78" s="9" t="s">
        <v>64</v>
      </c>
      <c r="P78" s="10">
        <v>16</v>
      </c>
      <c r="R78" s="73"/>
      <c r="S78" s="90"/>
      <c r="U78" s="90"/>
      <c r="W78" s="224"/>
      <c r="X78" s="223" t="s">
        <v>112</v>
      </c>
      <c r="Z78" s="72"/>
      <c r="AC78" s="73"/>
    </row>
    <row r="79" spans="3:29" x14ac:dyDescent="0.25">
      <c r="K79" s="9" t="s">
        <v>4</v>
      </c>
      <c r="L79" s="12">
        <v>0.2</v>
      </c>
      <c r="O79" s="9" t="s">
        <v>6</v>
      </c>
      <c r="P79" s="11">
        <v>0.5</v>
      </c>
      <c r="R79" s="73"/>
      <c r="S79" s="90"/>
      <c r="U79" s="90"/>
      <c r="W79" s="90"/>
      <c r="X79" s="224"/>
      <c r="Z79" s="72"/>
      <c r="AC79" s="73"/>
    </row>
    <row r="80" spans="3:29" x14ac:dyDescent="0.25">
      <c r="K80" s="9" t="s">
        <v>68</v>
      </c>
      <c r="L80" s="11">
        <v>14</v>
      </c>
      <c r="O80" s="9" t="s">
        <v>4</v>
      </c>
      <c r="P80" s="12">
        <v>0.1</v>
      </c>
      <c r="R80" s="73"/>
      <c r="S80" s="90"/>
      <c r="U80" s="90"/>
      <c r="W80" s="90"/>
      <c r="X80" s="224"/>
      <c r="Z80" s="72"/>
      <c r="AC80" s="73"/>
    </row>
    <row r="81" spans="11:29" x14ac:dyDescent="0.25">
      <c r="K81" s="9" t="s">
        <v>16</v>
      </c>
      <c r="L81" s="96">
        <f>+(650-3)/650</f>
        <v>0.99538461538461542</v>
      </c>
      <c r="O81" s="9" t="s">
        <v>68</v>
      </c>
      <c r="P81" s="11">
        <v>14</v>
      </c>
      <c r="R81" s="73"/>
      <c r="S81" s="90"/>
      <c r="U81" s="90"/>
      <c r="W81" s="90"/>
      <c r="X81" s="224"/>
      <c r="Z81" s="72"/>
      <c r="AC81" s="73"/>
    </row>
    <row r="82" spans="11:29" x14ac:dyDescent="0.25">
      <c r="K82" s="9" t="s">
        <v>65</v>
      </c>
      <c r="L82" s="11"/>
      <c r="O82" s="9" t="s">
        <v>16</v>
      </c>
      <c r="P82" s="96">
        <f>+(650-3)/650</f>
        <v>0.99538461538461542</v>
      </c>
      <c r="R82" s="73"/>
      <c r="S82" s="90"/>
      <c r="U82" s="90"/>
      <c r="W82" s="90"/>
      <c r="X82" s="224"/>
      <c r="Z82" s="72"/>
      <c r="AC82" s="73"/>
    </row>
    <row r="83" spans="11:29" ht="13.8" thickBot="1" x14ac:dyDescent="0.3">
      <c r="K83" s="13"/>
      <c r="L83" s="14"/>
      <c r="O83" s="9" t="s">
        <v>65</v>
      </c>
      <c r="P83" s="11"/>
      <c r="R83" s="73"/>
      <c r="S83" s="90"/>
      <c r="U83" s="90"/>
      <c r="W83" s="90"/>
      <c r="X83" s="224"/>
      <c r="Z83" s="72"/>
      <c r="AC83" s="73"/>
    </row>
    <row r="84" spans="11:29" ht="13.8" thickBot="1" x14ac:dyDescent="0.3">
      <c r="O84" s="13"/>
      <c r="P84" s="14"/>
      <c r="Q84" s="75"/>
      <c r="R84" s="76"/>
      <c r="S84" s="14"/>
      <c r="U84" s="90"/>
      <c r="W84" s="90"/>
      <c r="X84" s="224"/>
      <c r="Z84" s="72"/>
      <c r="AC84" s="73"/>
    </row>
    <row r="85" spans="11:29" ht="18" thickBot="1" x14ac:dyDescent="0.35">
      <c r="K85" s="3" t="s">
        <v>82</v>
      </c>
      <c r="L85" s="4"/>
      <c r="U85" s="90"/>
      <c r="W85" s="90"/>
      <c r="X85" s="224"/>
      <c r="Z85" s="72"/>
      <c r="AC85" s="73"/>
    </row>
    <row r="86" spans="11:29" ht="17.399999999999999" x14ac:dyDescent="0.3">
      <c r="K86" s="5"/>
      <c r="L86" s="6">
        <v>2</v>
      </c>
      <c r="N86" s="94" t="s">
        <v>91</v>
      </c>
      <c r="O86" s="70"/>
      <c r="P86" s="70"/>
      <c r="Q86" s="70"/>
      <c r="R86" s="71"/>
      <c r="U86" s="90"/>
      <c r="W86" s="90"/>
      <c r="X86" s="224"/>
      <c r="Z86" s="72"/>
      <c r="AC86" s="73"/>
    </row>
    <row r="87" spans="11:29" ht="13.8" thickBot="1" x14ac:dyDescent="0.3">
      <c r="K87" s="7" t="s">
        <v>85</v>
      </c>
      <c r="L87" s="8"/>
      <c r="N87" s="72"/>
      <c r="R87" s="73"/>
      <c r="U87" s="90"/>
      <c r="W87" s="90"/>
      <c r="X87" s="224"/>
      <c r="Z87" s="72"/>
      <c r="AC87" s="73"/>
    </row>
    <row r="88" spans="11:29" ht="13.8" thickBot="1" x14ac:dyDescent="0.3">
      <c r="K88" s="9" t="s">
        <v>64</v>
      </c>
      <c r="L88" s="10">
        <v>16</v>
      </c>
      <c r="N88" s="72"/>
      <c r="R88" s="73"/>
      <c r="U88" s="14"/>
      <c r="W88" s="90"/>
      <c r="X88" s="224"/>
      <c r="Z88" s="72"/>
      <c r="AC88" s="73"/>
    </row>
    <row r="89" spans="11:29" ht="13.8" thickBot="1" x14ac:dyDescent="0.3">
      <c r="K89" s="9" t="s">
        <v>6</v>
      </c>
      <c r="L89" s="11">
        <v>0.3</v>
      </c>
      <c r="N89" s="72"/>
      <c r="R89" s="73"/>
      <c r="W89" s="90"/>
      <c r="X89" s="224"/>
      <c r="Z89" s="74"/>
      <c r="AA89" s="75"/>
      <c r="AB89" s="75"/>
      <c r="AC89" s="76"/>
    </row>
    <row r="90" spans="11:29" x14ac:dyDescent="0.25">
      <c r="K90" s="9" t="s">
        <v>4</v>
      </c>
      <c r="L90" s="12">
        <v>0.2</v>
      </c>
      <c r="N90" s="72"/>
      <c r="R90" s="73"/>
      <c r="W90" s="90"/>
      <c r="X90" s="224"/>
      <c r="Z90" s="94" t="s">
        <v>97</v>
      </c>
      <c r="AA90" s="70"/>
      <c r="AB90" s="70"/>
      <c r="AC90" s="71"/>
    </row>
    <row r="91" spans="11:29" x14ac:dyDescent="0.25">
      <c r="K91" s="9" t="s">
        <v>68</v>
      </c>
      <c r="L91" s="11">
        <v>14</v>
      </c>
      <c r="N91" s="72"/>
      <c r="R91" s="73"/>
      <c r="W91" s="90"/>
      <c r="X91" s="224"/>
      <c r="Z91" s="72"/>
      <c r="AC91" s="73"/>
    </row>
    <row r="92" spans="11:29" x14ac:dyDescent="0.25">
      <c r="K92" s="9" t="s">
        <v>16</v>
      </c>
      <c r="L92" s="96">
        <f>+(92-5)/90</f>
        <v>0.96666666666666667</v>
      </c>
      <c r="N92" s="72"/>
      <c r="R92" s="73"/>
      <c r="W92" s="90"/>
      <c r="X92" s="224"/>
      <c r="Z92" s="72"/>
      <c r="AC92" s="73"/>
    </row>
    <row r="93" spans="11:29" x14ac:dyDescent="0.25">
      <c r="K93" s="9" t="s">
        <v>65</v>
      </c>
      <c r="L93" s="11"/>
      <c r="N93" s="72"/>
      <c r="R93" s="73"/>
      <c r="W93" s="90"/>
      <c r="X93" s="224"/>
      <c r="Z93" s="72"/>
      <c r="AC93" s="73"/>
    </row>
    <row r="94" spans="11:29" ht="13.8" thickBot="1" x14ac:dyDescent="0.3">
      <c r="K94" s="13"/>
      <c r="L94" s="14"/>
      <c r="N94" s="74"/>
      <c r="O94" s="75"/>
      <c r="P94" s="75"/>
      <c r="Q94" s="75"/>
      <c r="R94" s="76"/>
      <c r="W94" s="90"/>
      <c r="X94" s="90"/>
      <c r="Z94" s="72"/>
      <c r="AC94" s="73"/>
    </row>
    <row r="95" spans="11:29" x14ac:dyDescent="0.25">
      <c r="K95" s="85"/>
      <c r="W95" s="90"/>
      <c r="X95" s="90"/>
      <c r="Z95" s="72"/>
      <c r="AC95" s="73"/>
    </row>
    <row r="96" spans="11:29" x14ac:dyDescent="0.25">
      <c r="K96" s="85"/>
      <c r="W96" s="90"/>
      <c r="X96" s="90"/>
      <c r="Z96" s="72"/>
      <c r="AC96" s="73"/>
    </row>
    <row r="97" spans="11:29" ht="13.8" thickBot="1" x14ac:dyDescent="0.3">
      <c r="W97" s="14"/>
      <c r="X97" s="14"/>
      <c r="Z97" s="72"/>
      <c r="AC97" s="73"/>
    </row>
    <row r="98" spans="11:29" ht="17.399999999999999" x14ac:dyDescent="0.3">
      <c r="K98" s="3" t="s">
        <v>86</v>
      </c>
      <c r="L98" s="4"/>
      <c r="Z98" s="72"/>
      <c r="AC98" s="73"/>
    </row>
    <row r="99" spans="11:29" ht="17.399999999999999" x14ac:dyDescent="0.3">
      <c r="K99" s="5"/>
      <c r="L99" s="6">
        <v>1</v>
      </c>
      <c r="Z99" s="72"/>
      <c r="AC99" s="73"/>
    </row>
    <row r="100" spans="11:29" ht="13.8" thickBot="1" x14ac:dyDescent="0.3">
      <c r="K100" s="7" t="s">
        <v>87</v>
      </c>
      <c r="L100" s="8"/>
      <c r="Z100" s="72"/>
      <c r="AC100" s="73"/>
    </row>
    <row r="101" spans="11:29" x14ac:dyDescent="0.25">
      <c r="K101" s="9" t="s">
        <v>64</v>
      </c>
      <c r="L101" s="10">
        <v>8</v>
      </c>
      <c r="Z101" s="72"/>
      <c r="AC101" s="73"/>
    </row>
    <row r="102" spans="11:29" x14ac:dyDescent="0.25">
      <c r="K102" s="9" t="s">
        <v>6</v>
      </c>
      <c r="L102" s="11">
        <v>1.6</v>
      </c>
      <c r="Z102" s="72"/>
      <c r="AC102" s="73"/>
    </row>
    <row r="103" spans="11:29" x14ac:dyDescent="0.25">
      <c r="K103" s="9" t="s">
        <v>4</v>
      </c>
      <c r="L103" s="12">
        <v>0.5</v>
      </c>
      <c r="Z103" s="72"/>
      <c r="AC103" s="73"/>
    </row>
    <row r="104" spans="11:29" x14ac:dyDescent="0.25">
      <c r="K104" s="9" t="s">
        <v>68</v>
      </c>
      <c r="L104" s="11">
        <v>6</v>
      </c>
      <c r="Z104" s="72"/>
      <c r="AC104" s="73"/>
    </row>
    <row r="105" spans="11:29" ht="13.8" thickBot="1" x14ac:dyDescent="0.3">
      <c r="K105" s="9" t="s">
        <v>16</v>
      </c>
      <c r="L105" s="96">
        <f>+(92-3)/92</f>
        <v>0.96739130434782605</v>
      </c>
      <c r="Z105" s="74"/>
      <c r="AA105" s="75"/>
      <c r="AB105" s="75"/>
      <c r="AC105" s="76"/>
    </row>
    <row r="106" spans="11:29" x14ac:dyDescent="0.25">
      <c r="K106" s="9" t="s">
        <v>65</v>
      </c>
      <c r="L106" s="11"/>
    </row>
    <row r="107" spans="11:29" ht="13.8" thickBot="1" x14ac:dyDescent="0.3">
      <c r="K107" s="13"/>
      <c r="L107" s="14"/>
    </row>
  </sheetData>
  <mergeCells count="3">
    <mergeCell ref="W63:W78"/>
    <mergeCell ref="S65:S75"/>
    <mergeCell ref="X78:X93"/>
  </mergeCells>
  <pageMargins left="0.75" right="0.75" top="1" bottom="1" header="0" footer="0"/>
  <headerFooter alignWithMargin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BE050-8D73-4FC0-B918-05D842B657C0}">
  <dimension ref="B3:AB100"/>
  <sheetViews>
    <sheetView topLeftCell="K8" workbookViewId="0">
      <selection activeCell="M26" sqref="M26"/>
    </sheetView>
  </sheetViews>
  <sheetFormatPr baseColWidth="10" defaultRowHeight="13.2" x14ac:dyDescent="0.25"/>
  <cols>
    <col min="10" max="10" width="16.33203125" customWidth="1"/>
    <col min="14" max="14" width="14.44140625" customWidth="1"/>
    <col min="15" max="15" width="12.77734375" customWidth="1"/>
  </cols>
  <sheetData>
    <row r="3" spans="2:28" ht="13.8" thickBot="1" x14ac:dyDescent="0.3"/>
    <row r="4" spans="2:28" x14ac:dyDescent="0.25">
      <c r="C4" s="146"/>
      <c r="I4" s="229" t="s">
        <v>220</v>
      </c>
      <c r="J4" s="230"/>
      <c r="K4" s="231"/>
    </row>
    <row r="5" spans="2:28" ht="22.8" customHeight="1" thickBot="1" x14ac:dyDescent="0.3">
      <c r="I5" s="232"/>
      <c r="J5" s="233"/>
      <c r="K5" s="234"/>
    </row>
    <row r="10" spans="2:28" x14ac:dyDescent="0.25">
      <c r="B10" s="235" t="s">
        <v>221</v>
      </c>
      <c r="C10" s="236"/>
    </row>
    <row r="11" spans="2:28" ht="13.8" thickBot="1" x14ac:dyDescent="0.3">
      <c r="B11" s="236"/>
      <c r="C11" s="236"/>
    </row>
    <row r="12" spans="2:28" x14ac:dyDescent="0.25">
      <c r="B12" s="154" t="s">
        <v>222</v>
      </c>
      <c r="C12" s="151"/>
      <c r="AB12" s="119" t="s">
        <v>189</v>
      </c>
    </row>
    <row r="13" spans="2:28" ht="17.399999999999999" x14ac:dyDescent="0.3">
      <c r="B13" s="152"/>
      <c r="C13" s="153"/>
      <c r="P13" s="156" t="s">
        <v>223</v>
      </c>
      <c r="Q13" s="155"/>
    </row>
    <row r="14" spans="2:28" ht="13.8" thickBot="1" x14ac:dyDescent="0.3">
      <c r="B14" s="149"/>
      <c r="C14" s="150"/>
    </row>
    <row r="17" spans="2:25" ht="13.8" thickBot="1" x14ac:dyDescent="0.3"/>
    <row r="18" spans="2:25" ht="17.399999999999999" x14ac:dyDescent="0.3">
      <c r="D18" s="3" t="s">
        <v>198</v>
      </c>
      <c r="E18" s="4"/>
      <c r="I18" s="3" t="s">
        <v>197</v>
      </c>
      <c r="J18" s="4"/>
      <c r="N18" s="3" t="s">
        <v>193</v>
      </c>
      <c r="O18" s="4"/>
      <c r="R18" s="82"/>
      <c r="T18" s="3" t="s">
        <v>191</v>
      </c>
      <c r="U18" s="4"/>
    </row>
    <row r="19" spans="2:25" ht="17.399999999999999" x14ac:dyDescent="0.3">
      <c r="D19" s="5"/>
      <c r="E19" s="6"/>
      <c r="I19" s="5"/>
      <c r="J19" s="6">
        <v>1</v>
      </c>
      <c r="N19" s="5"/>
      <c r="O19" s="6">
        <v>2</v>
      </c>
      <c r="R19" s="83"/>
      <c r="T19" s="5"/>
      <c r="U19" s="6">
        <v>4</v>
      </c>
    </row>
    <row r="20" spans="2:25" ht="13.8" thickBot="1" x14ac:dyDescent="0.3">
      <c r="D20" s="7"/>
      <c r="E20" s="8"/>
      <c r="I20" s="7"/>
      <c r="J20" s="8"/>
      <c r="N20" s="7"/>
      <c r="O20" s="8"/>
      <c r="R20" s="84"/>
      <c r="T20" s="7"/>
      <c r="U20" s="8"/>
    </row>
    <row r="21" spans="2:25" x14ac:dyDescent="0.25">
      <c r="D21" s="9" t="s">
        <v>64</v>
      </c>
      <c r="E21" s="10">
        <v>420</v>
      </c>
      <c r="I21" s="9" t="s">
        <v>64</v>
      </c>
      <c r="J21" s="10">
        <f>8*60-60</f>
        <v>420</v>
      </c>
      <c r="N21" s="9" t="s">
        <v>64</v>
      </c>
      <c r="O21" s="10">
        <f>+U21</f>
        <v>1680</v>
      </c>
      <c r="R21" s="80"/>
      <c r="T21" s="94" t="s">
        <v>64</v>
      </c>
      <c r="U21" s="10">
        <f>2*14*60</f>
        <v>1680</v>
      </c>
    </row>
    <row r="22" spans="2:25" x14ac:dyDescent="0.25">
      <c r="D22" s="9" t="s">
        <v>6</v>
      </c>
      <c r="E22" s="11">
        <v>120</v>
      </c>
      <c r="I22" s="9" t="s">
        <v>6</v>
      </c>
      <c r="J22" s="11">
        <f>+'Hoja de Datos del proceso'!G25-120</f>
        <v>60</v>
      </c>
      <c r="N22" s="9" t="s">
        <v>6</v>
      </c>
      <c r="O22" s="11">
        <f>+'Hoja de Datos del proceso'!C35</f>
        <v>26</v>
      </c>
      <c r="R22" s="80"/>
      <c r="T22" s="9" t="s">
        <v>6</v>
      </c>
      <c r="U22" s="11">
        <f>+'Hoja de Datos del proceso'!I35</f>
        <v>60</v>
      </c>
    </row>
    <row r="23" spans="2:25" x14ac:dyDescent="0.25">
      <c r="D23" s="9" t="s">
        <v>4</v>
      </c>
      <c r="E23" s="12">
        <v>60</v>
      </c>
      <c r="I23" s="9" t="s">
        <v>4</v>
      </c>
      <c r="J23" s="12">
        <v>120</v>
      </c>
      <c r="N23" s="9" t="s">
        <v>4</v>
      </c>
      <c r="O23" s="12">
        <v>5</v>
      </c>
      <c r="R23" s="81"/>
      <c r="T23" s="9" t="s">
        <v>4</v>
      </c>
      <c r="U23" s="144">
        <v>15</v>
      </c>
    </row>
    <row r="24" spans="2:25" x14ac:dyDescent="0.25">
      <c r="D24" s="9" t="s">
        <v>68</v>
      </c>
      <c r="E24" s="11">
        <v>360</v>
      </c>
      <c r="I24" s="9" t="s">
        <v>68</v>
      </c>
      <c r="J24" s="11">
        <v>360</v>
      </c>
      <c r="N24" s="9" t="s">
        <v>68</v>
      </c>
      <c r="O24" s="11">
        <f>+O21-40</f>
        <v>1640</v>
      </c>
      <c r="R24" s="80"/>
      <c r="T24" s="9" t="s">
        <v>68</v>
      </c>
      <c r="U24" s="12">
        <f>+U21-60</f>
        <v>1620</v>
      </c>
    </row>
    <row r="25" spans="2:25" x14ac:dyDescent="0.25">
      <c r="D25" s="9" t="s">
        <v>16</v>
      </c>
      <c r="E25" s="145">
        <v>1</v>
      </c>
      <c r="I25" s="9" t="s">
        <v>16</v>
      </c>
      <c r="J25" s="145">
        <v>1</v>
      </c>
      <c r="N25" s="9" t="s">
        <v>16</v>
      </c>
      <c r="O25" s="96">
        <f>+'Hoja de Datos del proceso'!C40</f>
        <v>0.35560000000000003</v>
      </c>
      <c r="R25" s="80"/>
      <c r="T25" s="9" t="s">
        <v>16</v>
      </c>
      <c r="U25" s="96">
        <f>+'Hoja de Datos del proceso'!I40</f>
        <v>0.94440000000000002</v>
      </c>
      <c r="X25">
        <v>42</v>
      </c>
      <c r="Y25" t="s">
        <v>204</v>
      </c>
    </row>
    <row r="26" spans="2:25" x14ac:dyDescent="0.25">
      <c r="D26" s="9" t="s">
        <v>65</v>
      </c>
      <c r="E26" s="11"/>
      <c r="I26" s="9" t="s">
        <v>65</v>
      </c>
      <c r="J26" s="11"/>
      <c r="N26" s="9" t="s">
        <v>65</v>
      </c>
      <c r="O26" s="11"/>
      <c r="R26" s="80"/>
      <c r="T26" s="9" t="s">
        <v>65</v>
      </c>
      <c r="U26" s="11"/>
    </row>
    <row r="27" spans="2:25" ht="13.8" thickBot="1" x14ac:dyDescent="0.3">
      <c r="D27" s="13" t="s">
        <v>201</v>
      </c>
      <c r="E27" s="14"/>
      <c r="I27" s="13" t="s">
        <v>201</v>
      </c>
      <c r="J27" s="14"/>
      <c r="L27" s="117"/>
      <c r="N27" s="13" t="s">
        <v>199</v>
      </c>
      <c r="O27" s="14"/>
      <c r="R27" s="2"/>
      <c r="T27" s="13" t="s">
        <v>199</v>
      </c>
      <c r="U27" s="14"/>
    </row>
    <row r="28" spans="2:25" x14ac:dyDescent="0.25">
      <c r="L28" t="s">
        <v>203</v>
      </c>
      <c r="M28" s="85"/>
      <c r="N28" s="2"/>
      <c r="Q28">
        <v>17</v>
      </c>
      <c r="R28" s="2"/>
      <c r="T28" s="85"/>
      <c r="U28" s="2"/>
    </row>
    <row r="29" spans="2:25" x14ac:dyDescent="0.25">
      <c r="V29" t="s">
        <v>209</v>
      </c>
    </row>
    <row r="30" spans="2:25" x14ac:dyDescent="0.25">
      <c r="B30" t="s">
        <v>213</v>
      </c>
      <c r="V30" t="s">
        <v>210</v>
      </c>
    </row>
    <row r="31" spans="2:25" x14ac:dyDescent="0.25">
      <c r="V31" t="s">
        <v>211</v>
      </c>
    </row>
    <row r="33" spans="2:24" ht="13.8" thickBot="1" x14ac:dyDescent="0.3"/>
    <row r="34" spans="2:24" x14ac:dyDescent="0.25">
      <c r="N34" s="147" t="s">
        <v>212</v>
      </c>
      <c r="O34" s="148"/>
      <c r="Q34" t="s">
        <v>208</v>
      </c>
      <c r="X34" t="s">
        <v>207</v>
      </c>
    </row>
    <row r="35" spans="2:24" ht="13.8" thickBot="1" x14ac:dyDescent="0.3">
      <c r="K35" t="s">
        <v>208</v>
      </c>
      <c r="N35" s="157" t="s">
        <v>224</v>
      </c>
      <c r="O35" s="150"/>
    </row>
    <row r="36" spans="2:24" ht="18" thickBot="1" x14ac:dyDescent="0.35">
      <c r="T36" s="3" t="s">
        <v>191</v>
      </c>
      <c r="U36" s="4"/>
    </row>
    <row r="37" spans="2:24" ht="17.399999999999999" x14ac:dyDescent="0.3">
      <c r="D37" s="3" t="s">
        <v>198</v>
      </c>
      <c r="E37" s="4"/>
      <c r="I37" s="3" t="s">
        <v>197</v>
      </c>
      <c r="J37" s="4"/>
      <c r="N37" s="3" t="s">
        <v>192</v>
      </c>
      <c r="O37" s="4"/>
      <c r="T37" s="5"/>
      <c r="U37" s="6">
        <v>2</v>
      </c>
    </row>
    <row r="38" spans="2:24" ht="18" thickBot="1" x14ac:dyDescent="0.35">
      <c r="D38" s="5"/>
      <c r="E38" s="6">
        <v>4</v>
      </c>
      <c r="I38" s="5"/>
      <c r="J38" s="6">
        <v>1</v>
      </c>
      <c r="N38" s="5"/>
      <c r="O38" s="6">
        <v>2</v>
      </c>
      <c r="T38" s="7"/>
      <c r="U38" s="8"/>
    </row>
    <row r="39" spans="2:24" ht="13.8" thickBot="1" x14ac:dyDescent="0.3">
      <c r="D39" s="7"/>
      <c r="E39" s="8"/>
      <c r="I39" s="7"/>
      <c r="J39" s="8"/>
      <c r="N39" s="7"/>
      <c r="O39" s="8"/>
      <c r="T39" s="9" t="s">
        <v>64</v>
      </c>
      <c r="U39" s="10">
        <v>1680</v>
      </c>
    </row>
    <row r="40" spans="2:24" x14ac:dyDescent="0.25">
      <c r="D40" s="9" t="s">
        <v>64</v>
      </c>
      <c r="E40" s="10">
        <v>420</v>
      </c>
      <c r="I40" s="9" t="s">
        <v>64</v>
      </c>
      <c r="J40" s="10">
        <v>420</v>
      </c>
      <c r="N40" s="9" t="s">
        <v>64</v>
      </c>
      <c r="O40" s="10">
        <v>1680</v>
      </c>
      <c r="T40" s="9" t="s">
        <v>6</v>
      </c>
      <c r="U40" s="11">
        <f>+'Hoja de Datos del proceso'!I35</f>
        <v>60</v>
      </c>
    </row>
    <row r="41" spans="2:24" x14ac:dyDescent="0.25">
      <c r="D41" s="9" t="s">
        <v>6</v>
      </c>
      <c r="E41" s="11">
        <v>120</v>
      </c>
      <c r="I41" s="9" t="s">
        <v>6</v>
      </c>
      <c r="J41" s="11">
        <v>60</v>
      </c>
      <c r="N41" s="9" t="s">
        <v>6</v>
      </c>
      <c r="O41" s="11">
        <f>+'Hoja de Datos del proceso'!G14</f>
        <v>28</v>
      </c>
      <c r="T41" s="9" t="s">
        <v>4</v>
      </c>
      <c r="U41" s="12">
        <v>15</v>
      </c>
    </row>
    <row r="42" spans="2:24" x14ac:dyDescent="0.25">
      <c r="D42" s="9" t="s">
        <v>4</v>
      </c>
      <c r="E42" s="12">
        <v>60</v>
      </c>
      <c r="I42" s="9" t="s">
        <v>4</v>
      </c>
      <c r="J42" s="12">
        <v>120</v>
      </c>
      <c r="N42" s="9" t="s">
        <v>4</v>
      </c>
      <c r="O42" s="12">
        <v>5</v>
      </c>
      <c r="T42" s="9" t="s">
        <v>68</v>
      </c>
      <c r="U42" s="11">
        <v>1620</v>
      </c>
    </row>
    <row r="43" spans="2:24" x14ac:dyDescent="0.25">
      <c r="D43" s="9" t="s">
        <v>68</v>
      </c>
      <c r="E43" s="11">
        <v>360</v>
      </c>
      <c r="I43" s="9" t="s">
        <v>68</v>
      </c>
      <c r="J43" s="11">
        <f>420-60</f>
        <v>360</v>
      </c>
      <c r="N43" s="9" t="s">
        <v>68</v>
      </c>
      <c r="O43" s="11">
        <v>1640</v>
      </c>
      <c r="T43" s="9" t="s">
        <v>16</v>
      </c>
      <c r="U43" s="96">
        <f>+U25</f>
        <v>0.94440000000000002</v>
      </c>
    </row>
    <row r="44" spans="2:24" x14ac:dyDescent="0.25">
      <c r="B44" t="s">
        <v>214</v>
      </c>
      <c r="D44" s="9" t="s">
        <v>16</v>
      </c>
      <c r="E44" s="145">
        <v>1</v>
      </c>
      <c r="I44" s="9" t="s">
        <v>16</v>
      </c>
      <c r="J44" s="145">
        <v>1</v>
      </c>
      <c r="N44" s="9" t="s">
        <v>16</v>
      </c>
      <c r="O44" s="96">
        <f>+'Hoja de Datos del proceso'!H48</f>
        <v>0.88619999999999999</v>
      </c>
      <c r="T44" s="9" t="s">
        <v>65</v>
      </c>
      <c r="U44" s="11"/>
    </row>
    <row r="45" spans="2:24" ht="13.8" thickBot="1" x14ac:dyDescent="0.3">
      <c r="B45" t="s">
        <v>215</v>
      </c>
      <c r="D45" s="9" t="s">
        <v>65</v>
      </c>
      <c r="E45" s="11"/>
      <c r="I45" s="9" t="s">
        <v>65</v>
      </c>
      <c r="J45" s="11"/>
      <c r="N45" s="9" t="s">
        <v>65</v>
      </c>
      <c r="O45" s="11"/>
      <c r="T45" s="13" t="s">
        <v>199</v>
      </c>
      <c r="U45" s="14"/>
    </row>
    <row r="46" spans="2:24" ht="13.8" thickBot="1" x14ac:dyDescent="0.3">
      <c r="D46" s="13" t="s">
        <v>200</v>
      </c>
      <c r="E46" s="14"/>
      <c r="I46" s="13" t="s">
        <v>200</v>
      </c>
      <c r="J46" s="14"/>
      <c r="L46" t="s">
        <v>206</v>
      </c>
      <c r="N46" s="13" t="s">
        <v>199</v>
      </c>
      <c r="O46" s="14"/>
      <c r="Q46" t="s">
        <v>205</v>
      </c>
    </row>
    <row r="53" spans="9:21" ht="13.8" thickBot="1" x14ac:dyDescent="0.3">
      <c r="L53" t="s">
        <v>208</v>
      </c>
      <c r="Q53" t="s">
        <v>208</v>
      </c>
    </row>
    <row r="54" spans="9:21" ht="17.399999999999999" x14ac:dyDescent="0.3">
      <c r="I54" s="3" t="s">
        <v>198</v>
      </c>
      <c r="J54" s="4"/>
      <c r="N54" s="3" t="s">
        <v>197</v>
      </c>
      <c r="O54" s="4"/>
      <c r="T54" s="3" t="s">
        <v>194</v>
      </c>
      <c r="U54" s="4"/>
    </row>
    <row r="55" spans="9:21" ht="17.399999999999999" x14ac:dyDescent="0.3">
      <c r="I55" s="5"/>
      <c r="J55" s="6">
        <v>4</v>
      </c>
      <c r="N55" s="5"/>
      <c r="O55" s="6">
        <v>1</v>
      </c>
      <c r="T55" s="5"/>
      <c r="U55" s="6">
        <v>2</v>
      </c>
    </row>
    <row r="56" spans="9:21" ht="13.8" thickBot="1" x14ac:dyDescent="0.3">
      <c r="I56" s="7"/>
      <c r="J56" s="8"/>
      <c r="N56" s="7"/>
      <c r="O56" s="8"/>
      <c r="T56" s="7"/>
      <c r="U56" s="8"/>
    </row>
    <row r="57" spans="9:21" x14ac:dyDescent="0.25">
      <c r="I57" s="9" t="s">
        <v>64</v>
      </c>
      <c r="J57" s="10">
        <v>420</v>
      </c>
      <c r="N57" s="9" t="s">
        <v>64</v>
      </c>
      <c r="O57" s="10">
        <v>420</v>
      </c>
      <c r="T57" s="9" t="s">
        <v>64</v>
      </c>
      <c r="U57" s="10">
        <v>1680</v>
      </c>
    </row>
    <row r="58" spans="9:21" x14ac:dyDescent="0.25">
      <c r="I58" s="9" t="s">
        <v>6</v>
      </c>
      <c r="J58" s="11">
        <v>120</v>
      </c>
      <c r="N58" s="9" t="s">
        <v>6</v>
      </c>
      <c r="O58" s="11">
        <v>60</v>
      </c>
      <c r="T58" s="9" t="s">
        <v>6</v>
      </c>
      <c r="U58" s="11">
        <f>+'Hoja de Datos del proceso'!C51</f>
        <v>40</v>
      </c>
    </row>
    <row r="59" spans="9:21" x14ac:dyDescent="0.25">
      <c r="I59" s="9" t="s">
        <v>4</v>
      </c>
      <c r="J59" s="12">
        <v>60</v>
      </c>
      <c r="N59" s="9" t="s">
        <v>4</v>
      </c>
      <c r="O59" s="12">
        <v>120</v>
      </c>
      <c r="T59" s="9" t="s">
        <v>4</v>
      </c>
      <c r="U59" s="12">
        <v>25</v>
      </c>
    </row>
    <row r="60" spans="9:21" x14ac:dyDescent="0.25">
      <c r="I60" s="9" t="s">
        <v>68</v>
      </c>
      <c r="J60" s="11">
        <v>360</v>
      </c>
      <c r="N60" s="9" t="s">
        <v>68</v>
      </c>
      <c r="O60" s="11">
        <v>360</v>
      </c>
      <c r="T60" s="9" t="s">
        <v>68</v>
      </c>
      <c r="U60" s="11">
        <v>1620</v>
      </c>
    </row>
    <row r="61" spans="9:21" x14ac:dyDescent="0.25">
      <c r="I61" s="9" t="s">
        <v>16</v>
      </c>
      <c r="J61" s="145">
        <v>1</v>
      </c>
      <c r="N61" s="9" t="s">
        <v>16</v>
      </c>
      <c r="O61" s="145">
        <v>1</v>
      </c>
      <c r="T61" s="9" t="s">
        <v>16</v>
      </c>
      <c r="U61" s="96">
        <f>+'Hoja de Datos del proceso'!C56</f>
        <v>0.98080000000000001</v>
      </c>
    </row>
    <row r="62" spans="9:21" x14ac:dyDescent="0.25">
      <c r="I62" s="9" t="s">
        <v>65</v>
      </c>
      <c r="J62" s="11"/>
      <c r="N62" s="9" t="s">
        <v>65</v>
      </c>
      <c r="O62" s="11"/>
      <c r="Q62" t="s">
        <v>202</v>
      </c>
      <c r="T62" s="9" t="s">
        <v>65</v>
      </c>
      <c r="U62" s="11"/>
    </row>
    <row r="63" spans="9:21" ht="13.8" thickBot="1" x14ac:dyDescent="0.3">
      <c r="I63" s="13" t="s">
        <v>201</v>
      </c>
      <c r="J63" s="14"/>
      <c r="N63" s="13" t="s">
        <v>201</v>
      </c>
      <c r="O63" s="14"/>
      <c r="T63" s="13" t="s">
        <v>199</v>
      </c>
      <c r="U63" s="14"/>
    </row>
    <row r="69" spans="9:26" x14ac:dyDescent="0.25">
      <c r="Q69" t="s">
        <v>217</v>
      </c>
    </row>
    <row r="70" spans="9:26" x14ac:dyDescent="0.25">
      <c r="L70" t="s">
        <v>217</v>
      </c>
    </row>
    <row r="71" spans="9:26" x14ac:dyDescent="0.25">
      <c r="I71" t="s">
        <v>216</v>
      </c>
      <c r="U71" t="s">
        <v>219</v>
      </c>
    </row>
    <row r="72" spans="9:26" ht="13.8" thickBot="1" x14ac:dyDescent="0.3"/>
    <row r="73" spans="9:26" ht="28.2" customHeight="1" x14ac:dyDescent="0.25">
      <c r="Y73" s="227" t="s">
        <v>190</v>
      </c>
      <c r="Z73" s="228"/>
    </row>
    <row r="74" spans="9:26" ht="18" thickBot="1" x14ac:dyDescent="0.35">
      <c r="Y74" s="5"/>
      <c r="Z74" s="6">
        <v>8</v>
      </c>
    </row>
    <row r="75" spans="9:26" ht="18" thickBot="1" x14ac:dyDescent="0.35">
      <c r="I75" s="3" t="s">
        <v>198</v>
      </c>
      <c r="J75" s="4"/>
      <c r="N75" s="3" t="s">
        <v>196</v>
      </c>
      <c r="O75" s="4"/>
      <c r="T75" s="3" t="s">
        <v>195</v>
      </c>
      <c r="U75" s="4"/>
      <c r="Y75" s="7"/>
      <c r="Z75" s="8"/>
    </row>
    <row r="76" spans="9:26" ht="17.399999999999999" x14ac:dyDescent="0.3">
      <c r="I76" s="5"/>
      <c r="J76" s="6">
        <v>4</v>
      </c>
      <c r="N76" s="5"/>
      <c r="O76" s="6">
        <v>1</v>
      </c>
      <c r="T76" s="5"/>
      <c r="U76" s="6">
        <v>2</v>
      </c>
      <c r="Y76" s="9" t="s">
        <v>64</v>
      </c>
      <c r="Z76" s="10">
        <v>1680</v>
      </c>
    </row>
    <row r="77" spans="9:26" ht="13.8" thickBot="1" x14ac:dyDescent="0.3">
      <c r="I77" s="7"/>
      <c r="J77" s="8"/>
      <c r="N77" s="7"/>
      <c r="O77" s="8"/>
      <c r="T77" s="7"/>
      <c r="U77" s="8"/>
      <c r="Y77" s="9" t="s">
        <v>6</v>
      </c>
      <c r="Z77" s="11">
        <f>+'Hoja de Datos del proceso'!H51</f>
        <v>40</v>
      </c>
    </row>
    <row r="78" spans="9:26" x14ac:dyDescent="0.25">
      <c r="I78" s="9" t="s">
        <v>64</v>
      </c>
      <c r="J78" s="10">
        <v>420</v>
      </c>
      <c r="N78" s="9" t="s">
        <v>64</v>
      </c>
      <c r="O78" s="10">
        <v>420</v>
      </c>
      <c r="T78" s="9" t="s">
        <v>64</v>
      </c>
      <c r="U78" s="10">
        <v>1680</v>
      </c>
      <c r="Y78" s="9" t="s">
        <v>4</v>
      </c>
      <c r="Z78" s="12">
        <f>+'Hoja de Datos del proceso'!G6+'Hoja de Datos del proceso'!G10</f>
        <v>50</v>
      </c>
    </row>
    <row r="79" spans="9:26" x14ac:dyDescent="0.25">
      <c r="I79" s="9" t="s">
        <v>6</v>
      </c>
      <c r="J79" s="11">
        <v>120</v>
      </c>
      <c r="N79" s="9" t="s">
        <v>6</v>
      </c>
      <c r="O79" s="11">
        <v>60</v>
      </c>
      <c r="T79" s="9" t="s">
        <v>6</v>
      </c>
      <c r="U79" s="11">
        <f>+'Hoja de Datos del proceso'!C43</f>
        <v>45</v>
      </c>
      <c r="Y79" s="9" t="s">
        <v>68</v>
      </c>
      <c r="Z79" s="11">
        <v>1620</v>
      </c>
    </row>
    <row r="80" spans="9:26" x14ac:dyDescent="0.25">
      <c r="I80" s="9" t="s">
        <v>4</v>
      </c>
      <c r="J80" s="12">
        <v>60</v>
      </c>
      <c r="N80" s="9" t="s">
        <v>4</v>
      </c>
      <c r="O80" s="12">
        <v>120</v>
      </c>
      <c r="T80" s="9" t="s">
        <v>4</v>
      </c>
      <c r="U80" s="12">
        <v>20</v>
      </c>
      <c r="Y80" s="9" t="s">
        <v>16</v>
      </c>
      <c r="Z80" s="96">
        <f>+'Hoja de Datos del proceso'!H56</f>
        <v>0.99539999999999995</v>
      </c>
    </row>
    <row r="81" spans="9:27" x14ac:dyDescent="0.25">
      <c r="I81" s="9" t="s">
        <v>68</v>
      </c>
      <c r="J81" s="11">
        <v>360</v>
      </c>
      <c r="N81" s="9" t="s">
        <v>68</v>
      </c>
      <c r="O81" s="11">
        <v>360</v>
      </c>
      <c r="T81" s="9" t="s">
        <v>68</v>
      </c>
      <c r="U81" s="11">
        <v>1620</v>
      </c>
      <c r="Y81" s="9" t="s">
        <v>65</v>
      </c>
      <c r="Z81" s="11"/>
    </row>
    <row r="82" spans="9:27" ht="13.8" thickBot="1" x14ac:dyDescent="0.3">
      <c r="I82" s="9" t="s">
        <v>16</v>
      </c>
      <c r="J82" s="145">
        <v>1</v>
      </c>
      <c r="N82" s="9" t="s">
        <v>16</v>
      </c>
      <c r="O82" s="145">
        <v>1</v>
      </c>
      <c r="T82" s="9" t="s">
        <v>16</v>
      </c>
      <c r="U82" s="96">
        <f>+'Hoja de Datos del proceso'!C48</f>
        <v>0.99539999999999995</v>
      </c>
      <c r="Y82" s="13" t="s">
        <v>199</v>
      </c>
      <c r="Z82" s="14"/>
    </row>
    <row r="83" spans="9:27" x14ac:dyDescent="0.25">
      <c r="I83" s="9" t="s">
        <v>65</v>
      </c>
      <c r="J83" s="11"/>
      <c r="N83" s="9" t="s">
        <v>65</v>
      </c>
      <c r="O83" s="11"/>
      <c r="T83" s="9" t="s">
        <v>65</v>
      </c>
      <c r="U83" s="11"/>
      <c r="W83">
        <v>87</v>
      </c>
    </row>
    <row r="84" spans="9:27" ht="13.8" thickBot="1" x14ac:dyDescent="0.3">
      <c r="I84" s="13" t="s">
        <v>201</v>
      </c>
      <c r="J84" s="14"/>
      <c r="N84" s="13" t="s">
        <v>200</v>
      </c>
      <c r="O84" s="14"/>
      <c r="Q84" t="s">
        <v>186</v>
      </c>
      <c r="T84" s="13" t="s">
        <v>199</v>
      </c>
      <c r="U84" s="14"/>
    </row>
    <row r="89" spans="9:27" x14ac:dyDescent="0.25">
      <c r="AA89" t="s">
        <v>219</v>
      </c>
    </row>
    <row r="91" spans="9:27" ht="17.399999999999999" x14ac:dyDescent="0.3">
      <c r="T91" s="82"/>
      <c r="U91" s="82"/>
      <c r="V91" t="s">
        <v>219</v>
      </c>
    </row>
    <row r="92" spans="9:27" ht="17.399999999999999" x14ac:dyDescent="0.3">
      <c r="Q92" t="s">
        <v>218</v>
      </c>
      <c r="T92" s="107"/>
      <c r="U92" s="83"/>
    </row>
    <row r="93" spans="9:27" x14ac:dyDescent="0.25">
      <c r="L93" t="s">
        <v>217</v>
      </c>
      <c r="T93" s="85"/>
      <c r="U93" s="84"/>
    </row>
    <row r="94" spans="9:27" x14ac:dyDescent="0.25">
      <c r="T94" s="85"/>
      <c r="U94" s="80"/>
    </row>
    <row r="95" spans="9:27" x14ac:dyDescent="0.25">
      <c r="T95" s="85"/>
      <c r="U95" s="80"/>
    </row>
    <row r="96" spans="9:27" x14ac:dyDescent="0.25">
      <c r="T96" s="85"/>
      <c r="U96" s="81"/>
    </row>
    <row r="97" spans="20:21" x14ac:dyDescent="0.25">
      <c r="T97" s="85"/>
      <c r="U97" s="80"/>
    </row>
    <row r="98" spans="20:21" x14ac:dyDescent="0.25">
      <c r="T98" s="85"/>
      <c r="U98" s="80"/>
    </row>
    <row r="99" spans="20:21" x14ac:dyDescent="0.25">
      <c r="T99" s="85"/>
      <c r="U99" s="80"/>
    </row>
    <row r="100" spans="20:21" x14ac:dyDescent="0.25">
      <c r="T100" s="85"/>
      <c r="U100" s="2"/>
    </row>
  </sheetData>
  <mergeCells count="3">
    <mergeCell ref="Y73:Z73"/>
    <mergeCell ref="I4:K5"/>
    <mergeCell ref="B10:C1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439B1-FD7A-4AF7-9500-A067893CD697}">
  <dimension ref="A3:S50"/>
  <sheetViews>
    <sheetView tabSelected="1" topLeftCell="A7" workbookViewId="0">
      <selection activeCell="K10" sqref="K10"/>
    </sheetView>
  </sheetViews>
  <sheetFormatPr baseColWidth="10" defaultRowHeight="13.2" x14ac:dyDescent="0.25"/>
  <cols>
    <col min="8" max="8" width="17.5546875" customWidth="1"/>
    <col min="10" max="10" width="14.109375" customWidth="1"/>
    <col min="11" max="11" width="13" customWidth="1"/>
    <col min="13" max="13" width="12.33203125" customWidth="1"/>
    <col min="18" max="18" width="10.6640625" customWidth="1"/>
  </cols>
  <sheetData>
    <row r="3" spans="1:19" ht="13.8" x14ac:dyDescent="0.25">
      <c r="E3" s="176" t="s">
        <v>300</v>
      </c>
      <c r="J3" s="176" t="s">
        <v>299</v>
      </c>
    </row>
    <row r="4" spans="1:19" ht="14.4" thickBot="1" x14ac:dyDescent="0.3">
      <c r="H4" s="175" t="s">
        <v>253</v>
      </c>
      <c r="M4" s="176" t="s">
        <v>254</v>
      </c>
    </row>
    <row r="5" spans="1:19" ht="13.8" customHeight="1" thickTop="1" thickBot="1" x14ac:dyDescent="0.35">
      <c r="H5" s="215" t="s">
        <v>301</v>
      </c>
      <c r="J5" s="184" t="s">
        <v>239</v>
      </c>
      <c r="L5" s="212" t="s">
        <v>241</v>
      </c>
      <c r="M5" s="176" t="s">
        <v>302</v>
      </c>
      <c r="R5" t="s">
        <v>231</v>
      </c>
    </row>
    <row r="6" spans="1:19" ht="18.600000000000001" thickTop="1" thickBot="1" x14ac:dyDescent="0.35">
      <c r="A6" s="200" t="s">
        <v>305</v>
      </c>
      <c r="H6" s="215"/>
      <c r="J6" s="185" t="s">
        <v>240</v>
      </c>
      <c r="L6" s="213"/>
    </row>
    <row r="7" spans="1:19" ht="18.600000000000001" thickTop="1" thickBot="1" x14ac:dyDescent="0.35">
      <c r="A7" s="200"/>
      <c r="J7" s="186" t="s">
        <v>225</v>
      </c>
      <c r="R7" s="173">
        <v>3</v>
      </c>
      <c r="S7" s="173" t="s">
        <v>232</v>
      </c>
    </row>
    <row r="8" spans="1:19" ht="17.399999999999999" customHeight="1" thickBot="1" x14ac:dyDescent="0.3">
      <c r="A8" s="200"/>
      <c r="J8" s="204" t="s">
        <v>255</v>
      </c>
      <c r="K8" s="205"/>
      <c r="R8" s="173">
        <v>1</v>
      </c>
      <c r="S8" s="173" t="s">
        <v>236</v>
      </c>
    </row>
    <row r="9" spans="1:19" ht="31.2" customHeight="1" thickBot="1" x14ac:dyDescent="0.35">
      <c r="A9" s="187" t="s">
        <v>306</v>
      </c>
      <c r="B9" s="174">
        <v>8</v>
      </c>
      <c r="C9" s="174" t="s">
        <v>237</v>
      </c>
      <c r="E9" s="207" t="s">
        <v>303</v>
      </c>
      <c r="F9" s="208"/>
      <c r="G9" s="209"/>
      <c r="J9" s="205"/>
      <c r="K9" s="205"/>
    </row>
    <row r="10" spans="1:19" ht="13.8" x14ac:dyDescent="0.25">
      <c r="H10" s="200" t="s">
        <v>304</v>
      </c>
      <c r="O10" s="176" t="s">
        <v>245</v>
      </c>
    </row>
    <row r="11" spans="1:19" x14ac:dyDescent="0.25">
      <c r="H11" s="200"/>
      <c r="R11" s="173">
        <v>6</v>
      </c>
      <c r="S11" s="173" t="s">
        <v>235</v>
      </c>
    </row>
    <row r="12" spans="1:19" ht="13.8" x14ac:dyDescent="0.25">
      <c r="H12" s="176" t="s">
        <v>263</v>
      </c>
      <c r="S12" s="173" t="s">
        <v>238</v>
      </c>
    </row>
    <row r="13" spans="1:19" ht="13.8" x14ac:dyDescent="0.25">
      <c r="A13" s="176" t="s">
        <v>327</v>
      </c>
      <c r="O13" s="173">
        <v>23</v>
      </c>
      <c r="P13" s="173" t="s">
        <v>237</v>
      </c>
    </row>
    <row r="14" spans="1:19" ht="13.8" x14ac:dyDescent="0.25">
      <c r="G14" s="175" t="s">
        <v>242</v>
      </c>
    </row>
    <row r="15" spans="1:19" ht="14.4" thickBot="1" x14ac:dyDescent="0.3">
      <c r="J15" s="176" t="s">
        <v>243</v>
      </c>
      <c r="L15" s="176" t="s">
        <v>243</v>
      </c>
      <c r="N15" s="214" t="s">
        <v>244</v>
      </c>
      <c r="O15" s="214"/>
    </row>
    <row r="16" spans="1:19" ht="17.399999999999999" x14ac:dyDescent="0.3">
      <c r="A16" s="158"/>
      <c r="B16" s="158"/>
      <c r="C16" s="159" t="s">
        <v>226</v>
      </c>
      <c r="D16" s="160"/>
      <c r="E16" s="158"/>
      <c r="F16" s="159" t="s">
        <v>227</v>
      </c>
      <c r="G16" s="160"/>
      <c r="H16" s="158"/>
      <c r="I16" s="159" t="s">
        <v>228</v>
      </c>
      <c r="J16" s="160"/>
      <c r="K16" s="158"/>
      <c r="L16" s="159" t="s">
        <v>229</v>
      </c>
      <c r="M16" s="160"/>
      <c r="N16" s="158"/>
      <c r="O16" s="158"/>
      <c r="P16" s="159" t="s">
        <v>230</v>
      </c>
      <c r="Q16" s="160"/>
    </row>
    <row r="17" spans="1:17" ht="17.399999999999999" x14ac:dyDescent="0.3">
      <c r="A17" s="158"/>
      <c r="B17" s="158"/>
      <c r="C17" s="161"/>
      <c r="D17" s="162"/>
      <c r="E17" s="158"/>
      <c r="F17" s="161"/>
      <c r="G17" s="162"/>
      <c r="H17" s="158"/>
      <c r="I17" s="161"/>
      <c r="J17" s="162"/>
      <c r="K17" s="176" t="s">
        <v>326</v>
      </c>
      <c r="L17" s="161"/>
      <c r="M17" s="162"/>
      <c r="N17" s="158"/>
      <c r="O17" s="158"/>
      <c r="P17" s="161"/>
      <c r="Q17" s="162"/>
    </row>
    <row r="18" spans="1:17" ht="13.8" thickBot="1" x14ac:dyDescent="0.3">
      <c r="A18" s="158"/>
      <c r="B18" s="158"/>
      <c r="C18" s="163"/>
      <c r="D18" s="164"/>
      <c r="E18" s="158"/>
      <c r="F18" s="163"/>
      <c r="G18" s="164"/>
      <c r="H18" s="158"/>
      <c r="I18" s="163"/>
      <c r="J18" s="164"/>
      <c r="K18" s="158"/>
      <c r="L18" s="163"/>
      <c r="M18" s="164"/>
      <c r="N18" s="158"/>
      <c r="O18" s="158"/>
      <c r="P18" s="163"/>
      <c r="Q18" s="164"/>
    </row>
    <row r="19" spans="1:17" x14ac:dyDescent="0.25">
      <c r="A19" s="158"/>
      <c r="B19" s="158"/>
      <c r="C19" s="165" t="s">
        <v>64</v>
      </c>
      <c r="D19" s="166">
        <v>9</v>
      </c>
      <c r="E19" s="158"/>
      <c r="F19" s="165" t="s">
        <v>64</v>
      </c>
      <c r="G19" s="166">
        <v>18</v>
      </c>
      <c r="H19" s="158"/>
      <c r="I19" s="165" t="s">
        <v>64</v>
      </c>
      <c r="J19" s="166">
        <v>10</v>
      </c>
      <c r="K19" s="158"/>
      <c r="L19" s="165" t="s">
        <v>64</v>
      </c>
      <c r="M19" s="166">
        <v>10</v>
      </c>
      <c r="N19" s="158"/>
      <c r="O19" s="158"/>
      <c r="P19" s="165" t="s">
        <v>64</v>
      </c>
      <c r="Q19" s="166">
        <v>10</v>
      </c>
    </row>
    <row r="20" spans="1:17" x14ac:dyDescent="0.25">
      <c r="A20" s="158"/>
      <c r="B20" s="172" t="s">
        <v>234</v>
      </c>
      <c r="C20" s="165" t="s">
        <v>6</v>
      </c>
      <c r="D20" s="167">
        <v>9</v>
      </c>
      <c r="E20" s="158"/>
      <c r="F20" s="165" t="s">
        <v>6</v>
      </c>
      <c r="G20" s="167">
        <v>9</v>
      </c>
      <c r="H20" s="158"/>
      <c r="I20" s="165" t="s">
        <v>6</v>
      </c>
      <c r="J20" s="167">
        <v>9</v>
      </c>
      <c r="K20" s="158"/>
      <c r="L20" s="165" t="s">
        <v>6</v>
      </c>
      <c r="M20" s="167">
        <v>9</v>
      </c>
      <c r="N20" s="158"/>
      <c r="O20" s="158"/>
      <c r="P20" s="165" t="s">
        <v>6</v>
      </c>
      <c r="Q20" s="167">
        <v>9</v>
      </c>
    </row>
    <row r="21" spans="1:17" x14ac:dyDescent="0.25">
      <c r="A21" s="158"/>
      <c r="B21" s="158"/>
      <c r="C21" s="165" t="s">
        <v>4</v>
      </c>
      <c r="D21" s="168">
        <v>0</v>
      </c>
      <c r="E21" s="158"/>
      <c r="F21" s="165" t="s">
        <v>4</v>
      </c>
      <c r="G21" s="168">
        <v>1</v>
      </c>
      <c r="H21" s="158"/>
      <c r="I21" s="165" t="s">
        <v>4</v>
      </c>
      <c r="J21" s="168">
        <v>0</v>
      </c>
      <c r="K21" s="158"/>
      <c r="L21" s="165" t="s">
        <v>4</v>
      </c>
      <c r="M21" s="168">
        <v>0</v>
      </c>
      <c r="N21" s="158"/>
      <c r="O21" s="158"/>
      <c r="P21" s="165" t="s">
        <v>4</v>
      </c>
      <c r="Q21" s="168">
        <v>0</v>
      </c>
    </row>
    <row r="22" spans="1:17" x14ac:dyDescent="0.25">
      <c r="A22" s="158"/>
      <c r="B22" s="158"/>
      <c r="C22" s="165" t="s">
        <v>68</v>
      </c>
      <c r="D22" s="167">
        <v>-11</v>
      </c>
      <c r="E22" s="158"/>
      <c r="F22" s="165" t="s">
        <v>68</v>
      </c>
      <c r="G22" s="167">
        <v>12</v>
      </c>
      <c r="H22" s="158"/>
      <c r="I22" s="165" t="s">
        <v>68</v>
      </c>
      <c r="J22" s="167">
        <v>9</v>
      </c>
      <c r="K22" s="158"/>
      <c r="L22" s="165" t="s">
        <v>68</v>
      </c>
      <c r="M22" s="167">
        <v>9</v>
      </c>
      <c r="N22" s="158"/>
      <c r="O22" s="158"/>
      <c r="P22" s="165" t="s">
        <v>68</v>
      </c>
      <c r="Q22" s="167">
        <v>9</v>
      </c>
    </row>
    <row r="23" spans="1:17" x14ac:dyDescent="0.25">
      <c r="A23" s="158"/>
      <c r="B23" s="158"/>
      <c r="C23" s="165" t="s">
        <v>16</v>
      </c>
      <c r="D23" s="170">
        <v>0.98</v>
      </c>
      <c r="E23" s="171" t="s">
        <v>234</v>
      </c>
      <c r="F23" s="165" t="s">
        <v>16</v>
      </c>
      <c r="G23" s="170">
        <v>0.65</v>
      </c>
      <c r="H23" s="171" t="s">
        <v>234</v>
      </c>
      <c r="I23" s="165" t="s">
        <v>16</v>
      </c>
      <c r="J23" s="170">
        <v>0.8</v>
      </c>
      <c r="K23" s="171" t="s">
        <v>233</v>
      </c>
      <c r="L23" s="165" t="s">
        <v>16</v>
      </c>
      <c r="M23" s="170">
        <v>0.8</v>
      </c>
      <c r="N23" s="210" t="s">
        <v>261</v>
      </c>
      <c r="O23" s="211"/>
      <c r="P23" s="165" t="s">
        <v>16</v>
      </c>
      <c r="Q23" s="170">
        <v>0.9</v>
      </c>
    </row>
    <row r="24" spans="1:17" x14ac:dyDescent="0.25">
      <c r="A24" s="158"/>
      <c r="B24" s="158"/>
      <c r="C24" s="165"/>
      <c r="D24" s="167"/>
      <c r="E24" s="158"/>
      <c r="F24" s="165"/>
      <c r="G24" s="167"/>
      <c r="H24" s="158"/>
      <c r="I24" s="165"/>
      <c r="J24" s="167"/>
      <c r="K24" s="158"/>
      <c r="L24" s="165"/>
      <c r="M24" s="167"/>
      <c r="N24" s="158"/>
      <c r="O24" s="158"/>
      <c r="P24" s="165"/>
      <c r="Q24" s="167"/>
    </row>
    <row r="25" spans="1:17" ht="13.8" thickBot="1" x14ac:dyDescent="0.3">
      <c r="A25" s="158"/>
      <c r="B25" s="158"/>
      <c r="C25" s="163"/>
      <c r="D25" s="169"/>
      <c r="F25" s="163"/>
      <c r="G25" s="169"/>
      <c r="H25" s="158"/>
      <c r="I25" s="163"/>
      <c r="J25" s="169"/>
      <c r="K25" s="158"/>
      <c r="L25" s="163"/>
      <c r="M25" s="169"/>
      <c r="N25" s="158"/>
      <c r="O25" s="158"/>
      <c r="P25" s="163"/>
      <c r="Q25" s="169"/>
    </row>
    <row r="26" spans="1:17" ht="14.4" thickBot="1" x14ac:dyDescent="0.3">
      <c r="A26" s="158"/>
      <c r="B26" s="158"/>
      <c r="C26" s="158"/>
      <c r="D26" s="158"/>
      <c r="E26" s="177" t="s">
        <v>260</v>
      </c>
      <c r="F26" s="158"/>
      <c r="G26" s="158"/>
      <c r="H26" s="177" t="s">
        <v>260</v>
      </c>
      <c r="I26" s="158"/>
      <c r="J26" s="158"/>
      <c r="K26" s="158"/>
      <c r="L26" s="158"/>
      <c r="M26" s="158"/>
      <c r="N26" s="158"/>
      <c r="O26" s="158"/>
      <c r="P26" s="158"/>
      <c r="Q26" s="158"/>
    </row>
    <row r="27" spans="1:17" ht="27" customHeight="1" thickTop="1" thickBot="1" x14ac:dyDescent="0.3">
      <c r="F27" s="192" t="s">
        <v>274</v>
      </c>
      <c r="G27" s="193"/>
      <c r="H27" s="194"/>
      <c r="J27" s="198" t="s">
        <v>276</v>
      </c>
      <c r="K27" s="199"/>
      <c r="L27" s="198" t="s">
        <v>281</v>
      </c>
      <c r="M27" s="199"/>
      <c r="P27" s="191" t="s">
        <v>309</v>
      </c>
      <c r="Q27" s="191"/>
    </row>
    <row r="28" spans="1:17" ht="15" thickTop="1" thickBot="1" x14ac:dyDescent="0.3">
      <c r="C28" s="178" t="s">
        <v>263</v>
      </c>
      <c r="D28" s="178"/>
      <c r="F28" s="178" t="s">
        <v>246</v>
      </c>
      <c r="G28" s="180"/>
      <c r="H28" s="179"/>
      <c r="J28" s="178" t="s">
        <v>277</v>
      </c>
      <c r="K28" s="181"/>
      <c r="L28" s="178" t="s">
        <v>277</v>
      </c>
      <c r="M28" s="178"/>
      <c r="P28" s="178" t="s">
        <v>310</v>
      </c>
      <c r="Q28" s="179"/>
    </row>
    <row r="29" spans="1:17" ht="15" thickTop="1" thickBot="1" x14ac:dyDescent="0.3">
      <c r="C29" s="178" t="s">
        <v>264</v>
      </c>
      <c r="D29" s="178"/>
      <c r="F29" s="178" t="s">
        <v>247</v>
      </c>
      <c r="G29" s="180"/>
      <c r="H29" s="179"/>
      <c r="J29" s="178" t="s">
        <v>278</v>
      </c>
      <c r="K29" s="181"/>
      <c r="L29" s="178" t="s">
        <v>278</v>
      </c>
      <c r="M29" s="178"/>
      <c r="P29" s="190" t="s">
        <v>319</v>
      </c>
      <c r="Q29" s="190"/>
    </row>
    <row r="30" spans="1:17" ht="15" thickTop="1" thickBot="1" x14ac:dyDescent="0.3">
      <c r="A30" s="204" t="s">
        <v>256</v>
      </c>
      <c r="B30" s="205"/>
      <c r="C30" s="178" t="s">
        <v>265</v>
      </c>
      <c r="D30" s="178"/>
      <c r="F30" s="178" t="s">
        <v>248</v>
      </c>
      <c r="G30" s="179"/>
      <c r="H30" s="179"/>
      <c r="J30" s="178" t="s">
        <v>279</v>
      </c>
      <c r="K30" s="181"/>
      <c r="L30" s="178" t="s">
        <v>279</v>
      </c>
      <c r="M30" s="178"/>
      <c r="P30" s="190"/>
      <c r="Q30" s="190"/>
    </row>
    <row r="31" spans="1:17" ht="15" thickTop="1" thickBot="1" x14ac:dyDescent="0.3">
      <c r="A31" s="205"/>
      <c r="B31" s="205"/>
      <c r="C31" s="178" t="s">
        <v>266</v>
      </c>
      <c r="D31" s="178"/>
      <c r="F31" s="178" t="s">
        <v>249</v>
      </c>
      <c r="G31" s="178"/>
      <c r="H31" s="179"/>
      <c r="J31" s="178" t="s">
        <v>280</v>
      </c>
      <c r="K31" s="181"/>
      <c r="L31" s="178" t="s">
        <v>280</v>
      </c>
      <c r="M31" s="178"/>
      <c r="P31" s="190" t="s">
        <v>320</v>
      </c>
      <c r="Q31" s="190"/>
    </row>
    <row r="32" spans="1:17" ht="15" customHeight="1" thickTop="1" thickBot="1" x14ac:dyDescent="0.3">
      <c r="C32" s="178" t="s">
        <v>267</v>
      </c>
      <c r="D32" s="178"/>
      <c r="F32" s="178" t="s">
        <v>250</v>
      </c>
      <c r="G32" s="181"/>
      <c r="H32" s="182"/>
      <c r="J32" s="178" t="s">
        <v>287</v>
      </c>
      <c r="K32" s="181"/>
      <c r="L32" s="178" t="s">
        <v>282</v>
      </c>
      <c r="M32" s="178"/>
      <c r="P32" s="190"/>
      <c r="Q32" s="190"/>
    </row>
    <row r="33" spans="3:17" ht="30.6" customHeight="1" thickTop="1" thickBot="1" x14ac:dyDescent="0.3">
      <c r="C33" s="206" t="s">
        <v>268</v>
      </c>
      <c r="D33" s="206"/>
      <c r="F33" s="198" t="s">
        <v>311</v>
      </c>
      <c r="G33" s="202"/>
      <c r="H33" s="199"/>
      <c r="J33" s="191" t="s">
        <v>324</v>
      </c>
      <c r="K33" s="192"/>
      <c r="L33" s="191" t="s">
        <v>283</v>
      </c>
      <c r="M33" s="191"/>
      <c r="P33" s="195" t="s">
        <v>318</v>
      </c>
      <c r="Q33" s="195"/>
    </row>
    <row r="34" spans="3:17" ht="22.2" customHeight="1" thickTop="1" thickBot="1" x14ac:dyDescent="0.3">
      <c r="C34" s="206"/>
      <c r="D34" s="206"/>
      <c r="F34" s="198" t="s">
        <v>297</v>
      </c>
      <c r="G34" s="202"/>
      <c r="H34" s="199"/>
      <c r="J34" s="191" t="s">
        <v>284</v>
      </c>
      <c r="K34" s="192"/>
      <c r="L34" s="191" t="s">
        <v>286</v>
      </c>
      <c r="M34" s="191"/>
      <c r="P34" s="195"/>
      <c r="Q34" s="195"/>
    </row>
    <row r="35" spans="3:17" ht="29.4" customHeight="1" thickTop="1" thickBot="1" x14ac:dyDescent="0.3">
      <c r="C35" s="191" t="s">
        <v>289</v>
      </c>
      <c r="D35" s="191"/>
      <c r="F35" s="198" t="s">
        <v>251</v>
      </c>
      <c r="G35" s="202"/>
      <c r="H35" s="199"/>
      <c r="J35" s="192" t="s">
        <v>291</v>
      </c>
      <c r="K35" s="194"/>
      <c r="L35" s="191" t="s">
        <v>288</v>
      </c>
      <c r="M35" s="191"/>
      <c r="P35" s="191" t="s">
        <v>321</v>
      </c>
      <c r="Q35" s="191"/>
    </row>
    <row r="36" spans="3:17" ht="30" customHeight="1" thickTop="1" thickBot="1" x14ac:dyDescent="0.35">
      <c r="C36" s="191" t="s">
        <v>269</v>
      </c>
      <c r="D36" s="203"/>
      <c r="F36" s="198" t="s">
        <v>252</v>
      </c>
      <c r="G36" s="202"/>
      <c r="H36" s="199"/>
      <c r="J36" s="191" t="s">
        <v>286</v>
      </c>
      <c r="K36" s="191"/>
      <c r="L36" s="192" t="s">
        <v>290</v>
      </c>
      <c r="M36" s="194"/>
      <c r="O36" s="82"/>
      <c r="P36" s="196" t="s">
        <v>322</v>
      </c>
      <c r="Q36" s="197"/>
    </row>
    <row r="37" spans="3:17" ht="28.2" customHeight="1" thickTop="1" thickBot="1" x14ac:dyDescent="0.3">
      <c r="C37" s="206" t="s">
        <v>316</v>
      </c>
      <c r="D37" s="206"/>
      <c r="F37" s="198" t="s">
        <v>257</v>
      </c>
      <c r="G37" s="202"/>
      <c r="H37" s="199"/>
      <c r="J37" s="192" t="s">
        <v>292</v>
      </c>
      <c r="K37" s="201"/>
      <c r="L37" s="192" t="s">
        <v>292</v>
      </c>
      <c r="M37" s="201"/>
      <c r="O37" s="107"/>
      <c r="P37" s="188" t="s">
        <v>323</v>
      </c>
      <c r="Q37" s="189"/>
    </row>
    <row r="38" spans="3:17" ht="37.799999999999997" customHeight="1" thickTop="1" thickBot="1" x14ac:dyDescent="0.3">
      <c r="C38" s="206"/>
      <c r="D38" s="206"/>
      <c r="F38" s="198" t="s">
        <v>258</v>
      </c>
      <c r="G38" s="202"/>
      <c r="H38" s="199"/>
      <c r="J38" s="198" t="s">
        <v>295</v>
      </c>
      <c r="K38" s="199"/>
      <c r="L38" s="192" t="s">
        <v>293</v>
      </c>
      <c r="M38" s="201"/>
      <c r="O38" s="85"/>
      <c r="P38" s="84"/>
    </row>
    <row r="39" spans="3:17" ht="28.2" customHeight="1" thickTop="1" thickBot="1" x14ac:dyDescent="0.3">
      <c r="C39" s="191" t="s">
        <v>271</v>
      </c>
      <c r="D39" s="191"/>
      <c r="F39" s="198" t="s">
        <v>259</v>
      </c>
      <c r="G39" s="202"/>
      <c r="H39" s="199"/>
      <c r="J39" s="191" t="s">
        <v>308</v>
      </c>
      <c r="K39" s="191"/>
      <c r="L39" s="191" t="s">
        <v>298</v>
      </c>
      <c r="M39" s="191"/>
      <c r="O39" s="85"/>
      <c r="P39" s="80"/>
      <c r="Q39" s="117"/>
    </row>
    <row r="40" spans="3:17" ht="28.2" customHeight="1" thickTop="1" thickBot="1" x14ac:dyDescent="0.3">
      <c r="C40" s="191" t="s">
        <v>272</v>
      </c>
      <c r="D40" s="203"/>
      <c r="F40" s="198" t="s">
        <v>312</v>
      </c>
      <c r="G40" s="202"/>
      <c r="H40" s="199"/>
      <c r="J40" s="191" t="s">
        <v>317</v>
      </c>
      <c r="K40" s="191"/>
      <c r="L40" s="191" t="s">
        <v>308</v>
      </c>
      <c r="M40" s="191"/>
      <c r="O40" s="85"/>
      <c r="P40" s="80"/>
    </row>
    <row r="41" spans="3:17" ht="29.4" customHeight="1" thickTop="1" thickBot="1" x14ac:dyDescent="0.3">
      <c r="C41" s="191" t="s">
        <v>273</v>
      </c>
      <c r="D41" s="203"/>
      <c r="F41" s="198" t="s">
        <v>313</v>
      </c>
      <c r="G41" s="202"/>
      <c r="H41" s="199"/>
      <c r="L41" s="190" t="s">
        <v>325</v>
      </c>
      <c r="M41" s="190"/>
      <c r="O41" s="85"/>
      <c r="P41" s="81"/>
    </row>
    <row r="42" spans="3:17" ht="27" customHeight="1" thickTop="1" thickBot="1" x14ac:dyDescent="0.3">
      <c r="C42" s="191" t="s">
        <v>296</v>
      </c>
      <c r="D42" s="191"/>
      <c r="F42" s="198" t="s">
        <v>262</v>
      </c>
      <c r="G42" s="202"/>
      <c r="H42" s="199"/>
      <c r="O42" s="85"/>
      <c r="P42" s="80"/>
    </row>
    <row r="43" spans="3:17" ht="28.8" customHeight="1" thickTop="1" thickBot="1" x14ac:dyDescent="0.3">
      <c r="F43" s="192" t="s">
        <v>314</v>
      </c>
      <c r="G43" s="193"/>
      <c r="H43" s="194"/>
      <c r="O43" s="85"/>
      <c r="P43" s="183"/>
    </row>
    <row r="44" spans="3:17" ht="42" customHeight="1" thickTop="1" thickBot="1" x14ac:dyDescent="0.3">
      <c r="F44" s="191" t="s">
        <v>315</v>
      </c>
      <c r="G44" s="203"/>
      <c r="H44" s="203"/>
      <c r="O44" s="85"/>
      <c r="P44" s="80"/>
    </row>
    <row r="45" spans="3:17" ht="27" customHeight="1" thickTop="1" thickBot="1" x14ac:dyDescent="0.3">
      <c r="F45" s="191" t="s">
        <v>270</v>
      </c>
      <c r="G45" s="203"/>
      <c r="H45" s="203"/>
      <c r="O45" s="85"/>
      <c r="P45" s="2"/>
    </row>
    <row r="46" spans="3:17" ht="27.6" customHeight="1" thickTop="1" thickBot="1" x14ac:dyDescent="0.3">
      <c r="F46" s="191" t="s">
        <v>275</v>
      </c>
      <c r="G46" s="203"/>
      <c r="H46" s="203"/>
    </row>
    <row r="47" spans="3:17" ht="15" thickTop="1" thickBot="1" x14ac:dyDescent="0.3">
      <c r="F47" s="178" t="s">
        <v>285</v>
      </c>
      <c r="G47" s="179"/>
      <c r="H47" s="179"/>
    </row>
    <row r="48" spans="3:17" ht="15" thickTop="1" thickBot="1" x14ac:dyDescent="0.3">
      <c r="F48" s="178" t="s">
        <v>294</v>
      </c>
      <c r="G48" s="179"/>
      <c r="H48" s="179"/>
    </row>
    <row r="49" spans="6:8" ht="15" thickTop="1" thickBot="1" x14ac:dyDescent="0.3">
      <c r="F49" s="178" t="s">
        <v>307</v>
      </c>
      <c r="G49" s="178"/>
      <c r="H49" s="178"/>
    </row>
    <row r="50" spans="6:8" ht="13.8" thickTop="1" x14ac:dyDescent="0.25"/>
  </sheetData>
  <mergeCells count="58">
    <mergeCell ref="N23:O23"/>
    <mergeCell ref="L5:L6"/>
    <mergeCell ref="N15:O15"/>
    <mergeCell ref="J8:K9"/>
    <mergeCell ref="H5:H6"/>
    <mergeCell ref="F46:H46"/>
    <mergeCell ref="F33:H33"/>
    <mergeCell ref="F34:H34"/>
    <mergeCell ref="F37:H37"/>
    <mergeCell ref="F38:H38"/>
    <mergeCell ref="F44:H44"/>
    <mergeCell ref="F39:H39"/>
    <mergeCell ref="F40:H40"/>
    <mergeCell ref="F41:H41"/>
    <mergeCell ref="F42:H42"/>
    <mergeCell ref="F45:H45"/>
    <mergeCell ref="C39:D39"/>
    <mergeCell ref="C40:D40"/>
    <mergeCell ref="C41:D41"/>
    <mergeCell ref="F27:H27"/>
    <mergeCell ref="C33:D34"/>
    <mergeCell ref="C35:D35"/>
    <mergeCell ref="C36:D36"/>
    <mergeCell ref="C37:D38"/>
    <mergeCell ref="C42:D42"/>
    <mergeCell ref="J35:K35"/>
    <mergeCell ref="L39:M39"/>
    <mergeCell ref="F35:H35"/>
    <mergeCell ref="F36:H36"/>
    <mergeCell ref="L35:M35"/>
    <mergeCell ref="J36:K36"/>
    <mergeCell ref="H10:H11"/>
    <mergeCell ref="A6:A8"/>
    <mergeCell ref="J39:K39"/>
    <mergeCell ref="J37:K37"/>
    <mergeCell ref="L37:M37"/>
    <mergeCell ref="L38:M38"/>
    <mergeCell ref="L36:M36"/>
    <mergeCell ref="J34:K34"/>
    <mergeCell ref="L33:M33"/>
    <mergeCell ref="L34:M34"/>
    <mergeCell ref="J33:K33"/>
    <mergeCell ref="A30:B31"/>
    <mergeCell ref="E9:G9"/>
    <mergeCell ref="P37:Q37"/>
    <mergeCell ref="L41:M41"/>
    <mergeCell ref="L40:M40"/>
    <mergeCell ref="P27:Q27"/>
    <mergeCell ref="F43:H43"/>
    <mergeCell ref="J40:K40"/>
    <mergeCell ref="P33:Q34"/>
    <mergeCell ref="P29:Q30"/>
    <mergeCell ref="P31:Q32"/>
    <mergeCell ref="P35:Q35"/>
    <mergeCell ref="P36:Q36"/>
    <mergeCell ref="J27:K27"/>
    <mergeCell ref="L27:M27"/>
    <mergeCell ref="J38:K38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E24"/>
  <sheetViews>
    <sheetView topLeftCell="H1" zoomScaleNormal="100" workbookViewId="0">
      <selection activeCell="O30" sqref="O30"/>
    </sheetView>
  </sheetViews>
  <sheetFormatPr baseColWidth="10" defaultColWidth="11.44140625" defaultRowHeight="13.2" x14ac:dyDescent="0.25"/>
  <cols>
    <col min="1" max="1" width="6.6640625" style="2" customWidth="1"/>
    <col min="2" max="2" width="11.44140625" style="2"/>
    <col min="3" max="3" width="13.33203125" style="2" customWidth="1"/>
    <col min="4" max="4" width="5.44140625" style="2" customWidth="1"/>
    <col min="5" max="6" width="11.44140625" style="2"/>
    <col min="7" max="7" width="12.6640625" style="2" customWidth="1"/>
    <col min="8" max="8" width="12.109375" style="2" customWidth="1"/>
    <col min="9" max="9" width="10.88671875" style="2" customWidth="1"/>
    <col min="10" max="10" width="18.88671875" style="2" customWidth="1"/>
    <col min="11" max="11" width="11.44140625" style="2" customWidth="1"/>
    <col min="12" max="12" width="20.44140625" style="2" customWidth="1"/>
    <col min="13" max="13" width="11.44140625" style="2"/>
    <col min="14" max="14" width="20.44140625" style="2" customWidth="1"/>
    <col min="15" max="15" width="11.44140625" style="2"/>
    <col min="16" max="16" width="15.44140625" style="2" bestFit="1" customWidth="1"/>
    <col min="17" max="17" width="10.6640625" style="2" customWidth="1"/>
    <col min="18" max="18" width="12" style="2" customWidth="1"/>
    <col min="19" max="19" width="10.44140625" style="2" customWidth="1"/>
    <col min="20" max="20" width="17.109375" style="2" bestFit="1" customWidth="1"/>
    <col min="21" max="21" width="12.33203125" style="2" customWidth="1"/>
    <col min="22" max="22" width="17.109375" style="2" customWidth="1"/>
    <col min="23" max="16384" width="11.44140625" style="2"/>
  </cols>
  <sheetData>
    <row r="3" spans="1:31" ht="13.8" thickBot="1" x14ac:dyDescent="0.3"/>
    <row r="4" spans="1:31" s="27" customFormat="1" ht="14.4" thickTop="1" x14ac:dyDescent="0.25">
      <c r="A4" s="15"/>
      <c r="B4" s="16"/>
      <c r="C4" s="17"/>
      <c r="D4" s="18" t="s">
        <v>8</v>
      </c>
      <c r="E4" s="18"/>
      <c r="F4" s="19"/>
      <c r="G4" s="19"/>
      <c r="H4" s="20"/>
      <c r="I4" s="21"/>
      <c r="J4" s="22"/>
      <c r="K4" s="23"/>
      <c r="L4" s="24" t="s">
        <v>25</v>
      </c>
      <c r="M4" s="23"/>
      <c r="N4" s="24" t="s">
        <v>33</v>
      </c>
      <c r="O4" s="23"/>
      <c r="P4" s="24" t="s">
        <v>35</v>
      </c>
      <c r="Q4" s="23"/>
      <c r="R4" s="24" t="s">
        <v>40</v>
      </c>
      <c r="S4" s="23"/>
      <c r="T4" s="24" t="s">
        <v>44</v>
      </c>
      <c r="U4" s="23"/>
      <c r="V4" s="24" t="s">
        <v>50</v>
      </c>
      <c r="W4" s="21" t="s">
        <v>59</v>
      </c>
      <c r="X4" s="22"/>
      <c r="Y4" s="24"/>
      <c r="Z4" s="24" t="s">
        <v>60</v>
      </c>
      <c r="AA4" s="24"/>
      <c r="AB4" s="24"/>
      <c r="AC4" s="24"/>
      <c r="AD4" s="24"/>
      <c r="AE4" s="26"/>
    </row>
    <row r="5" spans="1:31" s="27" customFormat="1" ht="14.4" x14ac:dyDescent="0.3">
      <c r="A5" s="28"/>
      <c r="B5" s="29"/>
      <c r="C5" s="29"/>
      <c r="D5" s="30" t="s">
        <v>9</v>
      </c>
      <c r="E5" s="30"/>
      <c r="F5" s="31"/>
      <c r="G5" s="31"/>
      <c r="H5" s="32"/>
      <c r="I5" s="33"/>
      <c r="J5" s="33" t="s">
        <v>20</v>
      </c>
      <c r="K5" s="34"/>
      <c r="L5" s="35" t="s">
        <v>26</v>
      </c>
      <c r="M5" s="34"/>
      <c r="N5" s="35" t="s">
        <v>34</v>
      </c>
      <c r="O5" s="34"/>
      <c r="P5" s="35"/>
      <c r="Q5" s="34"/>
      <c r="R5" s="35"/>
      <c r="S5" s="34"/>
      <c r="T5" s="35" t="s">
        <v>45</v>
      </c>
      <c r="U5" s="34"/>
      <c r="V5" s="35"/>
      <c r="W5" s="65"/>
      <c r="X5" s="36"/>
      <c r="AA5" s="36"/>
      <c r="AE5" s="37"/>
    </row>
    <row r="6" spans="1:31" s="27" customFormat="1" ht="12" thickBot="1" x14ac:dyDescent="0.25">
      <c r="A6" s="38" t="s">
        <v>3</v>
      </c>
      <c r="B6" s="39" t="s">
        <v>11</v>
      </c>
      <c r="C6" s="39"/>
      <c r="D6" s="40" t="s">
        <v>15</v>
      </c>
      <c r="E6" s="39" t="s">
        <v>14</v>
      </c>
      <c r="F6" s="39"/>
      <c r="G6" s="39"/>
      <c r="H6" s="41"/>
      <c r="I6" s="42"/>
      <c r="J6" s="42" t="s">
        <v>21</v>
      </c>
      <c r="K6" s="25"/>
      <c r="L6" s="31" t="s">
        <v>28</v>
      </c>
      <c r="M6" s="43"/>
      <c r="N6" s="42" t="s">
        <v>0</v>
      </c>
      <c r="O6" s="25"/>
      <c r="P6" s="31" t="s">
        <v>74</v>
      </c>
      <c r="Q6" s="25"/>
      <c r="R6" s="42" t="s">
        <v>41</v>
      </c>
      <c r="S6" s="25"/>
      <c r="T6" s="31" t="s">
        <v>46</v>
      </c>
      <c r="U6" s="25"/>
      <c r="V6" s="31" t="s">
        <v>51</v>
      </c>
      <c r="W6" s="66"/>
      <c r="X6" s="44"/>
      <c r="Y6" s="45"/>
      <c r="Z6" s="45"/>
      <c r="AA6" s="45"/>
      <c r="AB6" s="45"/>
      <c r="AC6" s="45"/>
      <c r="AD6" s="45"/>
      <c r="AE6" s="46"/>
    </row>
    <row r="7" spans="1:31" s="27" customFormat="1" ht="11.4" x14ac:dyDescent="0.2">
      <c r="A7" s="38" t="s">
        <v>5</v>
      </c>
      <c r="B7" s="39" t="s">
        <v>12</v>
      </c>
      <c r="C7" s="63"/>
      <c r="D7" s="47" t="s">
        <v>16</v>
      </c>
      <c r="E7" s="47" t="s">
        <v>71</v>
      </c>
      <c r="F7" s="39"/>
      <c r="G7" s="39"/>
      <c r="H7" s="41"/>
      <c r="I7" s="33"/>
      <c r="J7" s="33" t="s">
        <v>22</v>
      </c>
      <c r="K7" s="34"/>
      <c r="L7" s="35" t="s">
        <v>27</v>
      </c>
      <c r="M7" s="48"/>
      <c r="N7" s="33" t="s">
        <v>32</v>
      </c>
      <c r="O7" s="34"/>
      <c r="P7" s="35" t="s">
        <v>36</v>
      </c>
      <c r="Q7" s="34"/>
      <c r="R7" s="33"/>
      <c r="S7" s="34"/>
      <c r="T7" s="35"/>
      <c r="U7" s="34"/>
      <c r="V7" s="35"/>
      <c r="W7" s="67"/>
      <c r="X7" s="49"/>
      <c r="AE7" s="37"/>
    </row>
    <row r="8" spans="1:31" s="27" customFormat="1" ht="11.4" x14ac:dyDescent="0.2">
      <c r="A8" s="38" t="s">
        <v>6</v>
      </c>
      <c r="B8" s="39" t="s">
        <v>13</v>
      </c>
      <c r="C8" s="39"/>
      <c r="D8" s="40" t="s">
        <v>17</v>
      </c>
      <c r="E8" s="39" t="s">
        <v>72</v>
      </c>
      <c r="F8" s="39"/>
      <c r="G8" s="39"/>
      <c r="H8" s="41"/>
      <c r="I8" s="42"/>
      <c r="J8" s="42" t="s">
        <v>0</v>
      </c>
      <c r="K8" s="25"/>
      <c r="L8" s="31" t="s">
        <v>29</v>
      </c>
      <c r="M8" s="43"/>
      <c r="N8" s="42" t="s">
        <v>1</v>
      </c>
      <c r="O8" s="25"/>
      <c r="P8" s="31" t="s">
        <v>37</v>
      </c>
      <c r="Q8" s="25"/>
      <c r="R8" s="42" t="s">
        <v>42</v>
      </c>
      <c r="S8" s="25"/>
      <c r="T8" s="31" t="s">
        <v>47</v>
      </c>
      <c r="U8" s="25"/>
      <c r="V8" s="31" t="s">
        <v>54</v>
      </c>
      <c r="W8" s="67"/>
      <c r="X8" s="49"/>
      <c r="AE8" s="37"/>
    </row>
    <row r="9" spans="1:31" s="27" customFormat="1" ht="12" thickBot="1" x14ac:dyDescent="0.25">
      <c r="A9" s="40" t="s">
        <v>4</v>
      </c>
      <c r="B9" s="39" t="s">
        <v>10</v>
      </c>
      <c r="C9" s="39"/>
      <c r="D9" s="50" t="s">
        <v>18</v>
      </c>
      <c r="E9" s="27" t="s">
        <v>19</v>
      </c>
      <c r="F9" s="39"/>
      <c r="G9" s="39"/>
      <c r="H9" s="41"/>
      <c r="I9" s="33"/>
      <c r="J9" s="33" t="s">
        <v>73</v>
      </c>
      <c r="K9" s="34"/>
      <c r="L9" s="35"/>
      <c r="M9" s="48"/>
      <c r="N9" s="33" t="s">
        <v>31</v>
      </c>
      <c r="O9" s="34"/>
      <c r="P9" s="35"/>
      <c r="Q9" s="34"/>
      <c r="R9" s="33"/>
      <c r="S9" s="34"/>
      <c r="T9" s="35"/>
      <c r="U9" s="34"/>
      <c r="V9" s="35" t="s">
        <v>55</v>
      </c>
      <c r="W9" s="66"/>
      <c r="X9" s="49"/>
      <c r="AE9" s="37"/>
    </row>
    <row r="10" spans="1:31" s="27" customFormat="1" ht="11.4" x14ac:dyDescent="0.2">
      <c r="A10" s="47" t="s">
        <v>69</v>
      </c>
      <c r="C10" s="47"/>
      <c r="E10" s="47"/>
      <c r="F10" s="47"/>
      <c r="G10" s="47"/>
      <c r="H10" s="41"/>
      <c r="I10" s="42"/>
      <c r="J10" s="42" t="s">
        <v>24</v>
      </c>
      <c r="K10" s="43"/>
      <c r="L10" s="42" t="s">
        <v>24</v>
      </c>
      <c r="M10" s="25"/>
      <c r="N10" s="31" t="s">
        <v>30</v>
      </c>
      <c r="O10" s="25"/>
      <c r="P10" s="31" t="s">
        <v>38</v>
      </c>
      <c r="Q10" s="25"/>
      <c r="R10" s="42" t="s">
        <v>43</v>
      </c>
      <c r="S10" s="25"/>
      <c r="T10" s="31" t="s">
        <v>48</v>
      </c>
      <c r="V10" s="27" t="s">
        <v>52</v>
      </c>
      <c r="W10" s="237" t="s">
        <v>56</v>
      </c>
      <c r="X10" s="238"/>
      <c r="Y10" s="239" t="s">
        <v>75</v>
      </c>
      <c r="Z10" s="238"/>
      <c r="AA10" s="239" t="s">
        <v>57</v>
      </c>
      <c r="AB10" s="238"/>
      <c r="AC10" s="51" t="s">
        <v>58</v>
      </c>
      <c r="AD10" s="51" t="s">
        <v>61</v>
      </c>
      <c r="AE10" s="52" t="s">
        <v>62</v>
      </c>
    </row>
    <row r="11" spans="1:31" s="27" customFormat="1" ht="12" thickBot="1" x14ac:dyDescent="0.25">
      <c r="A11" s="62" t="s">
        <v>70</v>
      </c>
      <c r="B11" s="53"/>
      <c r="C11" s="53"/>
      <c r="D11" s="53"/>
      <c r="E11" s="53"/>
      <c r="F11" s="53"/>
      <c r="G11" s="53"/>
      <c r="H11" s="54"/>
      <c r="I11" s="55"/>
      <c r="J11" s="55" t="s">
        <v>23</v>
      </c>
      <c r="K11" s="56"/>
      <c r="L11" s="55" t="s">
        <v>2</v>
      </c>
      <c r="M11" s="57"/>
      <c r="N11" s="58"/>
      <c r="O11" s="57"/>
      <c r="P11" s="58" t="s">
        <v>39</v>
      </c>
      <c r="Q11" s="57"/>
      <c r="R11" s="55"/>
      <c r="S11" s="57"/>
      <c r="T11" s="64" t="s">
        <v>49</v>
      </c>
      <c r="U11" s="58"/>
      <c r="V11" s="58" t="s">
        <v>53</v>
      </c>
      <c r="W11" s="240"/>
      <c r="X11" s="241"/>
      <c r="Y11" s="242"/>
      <c r="Z11" s="241"/>
      <c r="AA11" s="243"/>
      <c r="AB11" s="244"/>
      <c r="AC11" s="59"/>
      <c r="AD11" s="59">
        <v>0</v>
      </c>
      <c r="AE11" s="60" t="s">
        <v>7</v>
      </c>
    </row>
    <row r="12" spans="1:31" ht="13.8" thickTop="1" x14ac:dyDescent="0.25"/>
    <row r="14" spans="1:31" ht="13.8" thickBot="1" x14ac:dyDescent="0.3">
      <c r="E14" s="61" t="s">
        <v>66</v>
      </c>
    </row>
    <row r="15" spans="1:31" ht="17.399999999999999" x14ac:dyDescent="0.3">
      <c r="G15" s="3" t="s">
        <v>63</v>
      </c>
      <c r="H15" s="4"/>
    </row>
    <row r="16" spans="1:31" ht="17.399999999999999" x14ac:dyDescent="0.3">
      <c r="C16" s="61" t="s">
        <v>67</v>
      </c>
      <c r="G16" s="5"/>
      <c r="H16" s="6"/>
    </row>
    <row r="17" spans="7:8" ht="13.8" thickBot="1" x14ac:dyDescent="0.3">
      <c r="G17" s="7"/>
      <c r="H17" s="8"/>
    </row>
    <row r="18" spans="7:8" x14ac:dyDescent="0.25">
      <c r="G18" s="9" t="s">
        <v>64</v>
      </c>
      <c r="H18" s="10"/>
    </row>
    <row r="19" spans="7:8" x14ac:dyDescent="0.25">
      <c r="G19" s="9" t="s">
        <v>6</v>
      </c>
      <c r="H19" s="11"/>
    </row>
    <row r="20" spans="7:8" x14ac:dyDescent="0.25">
      <c r="G20" s="9" t="s">
        <v>4</v>
      </c>
      <c r="H20" s="12"/>
    </row>
    <row r="21" spans="7:8" x14ac:dyDescent="0.25">
      <c r="G21" s="9" t="s">
        <v>68</v>
      </c>
      <c r="H21" s="11"/>
    </row>
    <row r="22" spans="7:8" x14ac:dyDescent="0.25">
      <c r="G22" s="9" t="s">
        <v>16</v>
      </c>
      <c r="H22" s="11"/>
    </row>
    <row r="23" spans="7:8" x14ac:dyDescent="0.25">
      <c r="G23" s="9" t="s">
        <v>65</v>
      </c>
      <c r="H23" s="11"/>
    </row>
    <row r="24" spans="7:8" ht="13.8" thickBot="1" x14ac:dyDescent="0.3">
      <c r="G24" s="13"/>
      <c r="H24" s="14"/>
    </row>
  </sheetData>
  <mergeCells count="6">
    <mergeCell ref="W10:X10"/>
    <mergeCell ref="Y10:Z10"/>
    <mergeCell ref="AA10:AB10"/>
    <mergeCell ref="W11:X11"/>
    <mergeCell ref="Y11:Z11"/>
    <mergeCell ref="AA11:AB11"/>
  </mergeCells>
  <phoneticPr fontId="1" type="noConversion"/>
  <pageMargins left="0.75" right="0.75" top="1" bottom="1" header="0" footer="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9CED-471E-4733-B8D5-23D1EB965B73}">
  <dimension ref="A3:L56"/>
  <sheetViews>
    <sheetView topLeftCell="A40" workbookViewId="0">
      <selection activeCell="B57" sqref="B57"/>
    </sheetView>
  </sheetViews>
  <sheetFormatPr baseColWidth="10" defaultRowHeight="13.2" x14ac:dyDescent="0.25"/>
  <cols>
    <col min="1" max="1" width="3" bestFit="1" customWidth="1"/>
    <col min="2" max="2" width="43.33203125" customWidth="1"/>
    <col min="7" max="7" width="18.21875" customWidth="1"/>
    <col min="12" max="12" width="34.109375" customWidth="1"/>
  </cols>
  <sheetData>
    <row r="3" spans="1:12" ht="10.199999999999999" customHeight="1" x14ac:dyDescent="0.25"/>
    <row r="4" spans="1:12" ht="15.6" x14ac:dyDescent="0.3">
      <c r="A4" s="247" t="s">
        <v>143</v>
      </c>
      <c r="B4" s="236" t="s">
        <v>136</v>
      </c>
      <c r="C4" s="245" t="s">
        <v>137</v>
      </c>
      <c r="D4" s="245"/>
      <c r="E4" s="245"/>
      <c r="F4" s="245"/>
      <c r="G4" s="246" t="s">
        <v>142</v>
      </c>
      <c r="H4" s="236"/>
      <c r="I4" s="236"/>
      <c r="J4" s="236"/>
      <c r="K4" s="121"/>
      <c r="L4" s="121"/>
    </row>
    <row r="5" spans="1:12" ht="34.200000000000003" customHeight="1" x14ac:dyDescent="0.25">
      <c r="A5" s="247"/>
      <c r="B5" s="236"/>
      <c r="C5" s="123"/>
      <c r="D5" s="123"/>
      <c r="E5" s="123"/>
      <c r="F5" s="123"/>
      <c r="G5" s="126" t="s">
        <v>163</v>
      </c>
      <c r="H5" s="126" t="s">
        <v>139</v>
      </c>
      <c r="I5" s="126" t="s">
        <v>140</v>
      </c>
      <c r="J5" s="126" t="s">
        <v>141</v>
      </c>
      <c r="K5" s="235" t="s">
        <v>138</v>
      </c>
      <c r="L5" s="236"/>
    </row>
    <row r="6" spans="1:12" ht="26.4" x14ac:dyDescent="0.25">
      <c r="A6" s="121">
        <v>1</v>
      </c>
      <c r="B6" s="122" t="s">
        <v>162</v>
      </c>
      <c r="C6" s="127" t="s">
        <v>131</v>
      </c>
      <c r="D6" s="123"/>
      <c r="E6" s="127" t="s">
        <v>131</v>
      </c>
      <c r="F6" s="123"/>
      <c r="G6" s="126">
        <v>10</v>
      </c>
      <c r="H6" s="126"/>
      <c r="I6" s="126"/>
      <c r="J6" s="126"/>
      <c r="K6" s="120"/>
      <c r="L6" s="118"/>
    </row>
    <row r="7" spans="1:12" x14ac:dyDescent="0.25">
      <c r="A7" s="125">
        <v>2</v>
      </c>
      <c r="B7" s="117" t="s">
        <v>146</v>
      </c>
      <c r="C7" s="124" t="s">
        <v>131</v>
      </c>
      <c r="D7" s="125"/>
      <c r="E7" s="125"/>
      <c r="F7" s="125"/>
      <c r="G7" s="128">
        <v>10</v>
      </c>
      <c r="H7" s="128"/>
      <c r="I7" s="128"/>
      <c r="J7" s="128"/>
    </row>
    <row r="8" spans="1:12" x14ac:dyDescent="0.25">
      <c r="A8" s="121">
        <v>3</v>
      </c>
      <c r="B8" s="117" t="s">
        <v>148</v>
      </c>
      <c r="C8" s="124" t="s">
        <v>131</v>
      </c>
      <c r="D8" s="125"/>
      <c r="E8" s="125"/>
      <c r="F8" s="125"/>
      <c r="G8" s="128">
        <v>10</v>
      </c>
      <c r="H8" s="128"/>
      <c r="I8" s="128"/>
      <c r="J8" s="128"/>
    </row>
    <row r="9" spans="1:12" x14ac:dyDescent="0.25">
      <c r="A9" s="125">
        <v>4</v>
      </c>
      <c r="B9" s="117" t="s">
        <v>147</v>
      </c>
      <c r="C9" s="124" t="s">
        <v>131</v>
      </c>
      <c r="D9" s="125"/>
      <c r="E9" s="125"/>
      <c r="F9" s="125"/>
      <c r="G9" s="128">
        <v>10</v>
      </c>
      <c r="H9" s="128"/>
      <c r="I9" s="128"/>
      <c r="J9" s="128"/>
    </row>
    <row r="10" spans="1:12" x14ac:dyDescent="0.25">
      <c r="A10" s="129"/>
      <c r="B10" s="117" t="s">
        <v>164</v>
      </c>
      <c r="C10" s="124" t="s">
        <v>131</v>
      </c>
      <c r="D10" s="125"/>
      <c r="E10" s="125"/>
      <c r="F10" s="125"/>
      <c r="G10" s="128">
        <v>40</v>
      </c>
      <c r="H10" s="128"/>
      <c r="I10" s="128"/>
      <c r="J10" s="128"/>
    </row>
    <row r="11" spans="1:12" x14ac:dyDescent="0.25">
      <c r="A11" s="129"/>
      <c r="B11" s="117" t="s">
        <v>165</v>
      </c>
      <c r="C11" s="124"/>
      <c r="D11" s="125"/>
      <c r="E11" s="125"/>
      <c r="F11" s="125"/>
      <c r="G11" s="128"/>
      <c r="H11" s="128">
        <v>482</v>
      </c>
      <c r="I11" s="128"/>
      <c r="J11" s="128">
        <v>400</v>
      </c>
    </row>
    <row r="12" spans="1:12" x14ac:dyDescent="0.25">
      <c r="A12" s="121">
        <v>5</v>
      </c>
      <c r="B12" s="117" t="s">
        <v>145</v>
      </c>
      <c r="C12" s="125"/>
      <c r="D12" s="124" t="s">
        <v>131</v>
      </c>
      <c r="E12" s="125"/>
      <c r="F12" s="125"/>
      <c r="G12" s="128">
        <v>10</v>
      </c>
      <c r="H12" s="128"/>
      <c r="I12" s="128">
        <v>25</v>
      </c>
      <c r="J12" s="128"/>
    </row>
    <row r="13" spans="1:12" x14ac:dyDescent="0.25">
      <c r="A13" s="121"/>
      <c r="B13" s="117" t="s">
        <v>166</v>
      </c>
      <c r="C13" s="125"/>
      <c r="D13" s="124"/>
      <c r="E13" s="125"/>
      <c r="F13" s="125"/>
      <c r="G13" s="128"/>
      <c r="H13" s="128">
        <v>21</v>
      </c>
      <c r="I13" s="128"/>
      <c r="J13" s="128">
        <v>90</v>
      </c>
    </row>
    <row r="14" spans="1:12" x14ac:dyDescent="0.25">
      <c r="A14" s="125">
        <v>6</v>
      </c>
      <c r="B14" s="117" t="s">
        <v>144</v>
      </c>
      <c r="C14" s="124" t="s">
        <v>131</v>
      </c>
      <c r="D14" s="125"/>
      <c r="E14" s="125"/>
      <c r="F14" s="125"/>
      <c r="G14" s="128">
        <v>28</v>
      </c>
      <c r="H14" s="128"/>
      <c r="I14" s="128"/>
      <c r="J14" s="128"/>
    </row>
    <row r="15" spans="1:12" x14ac:dyDescent="0.25">
      <c r="A15" s="121">
        <v>7</v>
      </c>
      <c r="B15" s="117" t="s">
        <v>155</v>
      </c>
      <c r="C15" s="124" t="s">
        <v>131</v>
      </c>
      <c r="D15" s="124" t="s">
        <v>131</v>
      </c>
      <c r="E15" s="125"/>
      <c r="F15" s="125"/>
      <c r="G15" s="128">
        <v>25</v>
      </c>
      <c r="H15" s="128"/>
      <c r="I15" s="128"/>
      <c r="J15" s="128"/>
    </row>
    <row r="16" spans="1:12" x14ac:dyDescent="0.25">
      <c r="A16" s="125">
        <v>8</v>
      </c>
      <c r="B16" s="117" t="s">
        <v>149</v>
      </c>
      <c r="C16" s="124" t="s">
        <v>131</v>
      </c>
      <c r="D16" s="124" t="s">
        <v>131</v>
      </c>
      <c r="E16" s="125"/>
      <c r="F16" s="125"/>
      <c r="G16" s="128">
        <v>15</v>
      </c>
      <c r="H16" s="128"/>
      <c r="I16" s="128">
        <v>10</v>
      </c>
      <c r="J16" s="128"/>
    </row>
    <row r="17" spans="1:10" x14ac:dyDescent="0.25">
      <c r="A17" s="121">
        <v>9</v>
      </c>
      <c r="B17" s="117" t="s">
        <v>150</v>
      </c>
      <c r="C17" s="124" t="s">
        <v>131</v>
      </c>
      <c r="D17" s="125"/>
      <c r="E17" s="125"/>
      <c r="F17" s="125"/>
      <c r="G17" s="128">
        <v>70</v>
      </c>
      <c r="H17" s="128"/>
      <c r="I17" s="128"/>
      <c r="J17" s="128"/>
    </row>
    <row r="18" spans="1:10" x14ac:dyDescent="0.25">
      <c r="A18" s="125">
        <v>10</v>
      </c>
      <c r="B18" s="117" t="s">
        <v>151</v>
      </c>
      <c r="C18" s="124" t="s">
        <v>131</v>
      </c>
      <c r="D18" s="124" t="s">
        <v>131</v>
      </c>
      <c r="E18" s="125"/>
      <c r="F18" s="125"/>
      <c r="G18" s="128">
        <v>20</v>
      </c>
      <c r="H18" s="128"/>
      <c r="I18" s="128"/>
      <c r="J18" s="128"/>
    </row>
    <row r="19" spans="1:10" x14ac:dyDescent="0.25">
      <c r="A19" s="121">
        <v>11</v>
      </c>
      <c r="B19" s="117" t="s">
        <v>152</v>
      </c>
      <c r="C19" s="125"/>
      <c r="D19" s="124" t="s">
        <v>131</v>
      </c>
      <c r="E19" s="125"/>
      <c r="F19" s="125"/>
      <c r="G19" s="128">
        <v>10</v>
      </c>
      <c r="H19" s="128"/>
      <c r="I19" s="128">
        <v>40</v>
      </c>
      <c r="J19" s="128"/>
    </row>
    <row r="20" spans="1:10" x14ac:dyDescent="0.25">
      <c r="A20" s="121"/>
      <c r="B20" s="117" t="s">
        <v>167</v>
      </c>
      <c r="C20" s="125"/>
      <c r="D20" s="124"/>
      <c r="E20" s="125"/>
      <c r="F20" s="125"/>
      <c r="G20" s="128"/>
      <c r="H20" s="128">
        <v>21</v>
      </c>
      <c r="I20" s="128"/>
      <c r="J20" s="128">
        <v>60</v>
      </c>
    </row>
    <row r="21" spans="1:10" x14ac:dyDescent="0.25">
      <c r="A21" s="125">
        <v>12</v>
      </c>
      <c r="B21" s="117" t="s">
        <v>161</v>
      </c>
      <c r="C21" s="124" t="s">
        <v>131</v>
      </c>
      <c r="D21" s="124"/>
      <c r="E21" s="124" t="s">
        <v>131</v>
      </c>
      <c r="F21" s="125"/>
      <c r="G21" s="128">
        <v>65</v>
      </c>
      <c r="H21" s="128"/>
      <c r="I21" s="128"/>
      <c r="J21" s="128"/>
    </row>
    <row r="22" spans="1:10" x14ac:dyDescent="0.25">
      <c r="A22" s="121">
        <v>13</v>
      </c>
      <c r="B22" s="132" t="s">
        <v>153</v>
      </c>
      <c r="C22" s="134" t="s">
        <v>131</v>
      </c>
      <c r="D22" s="125"/>
      <c r="E22" s="125"/>
      <c r="F22" s="125"/>
      <c r="G22" s="128">
        <v>65</v>
      </c>
      <c r="H22" s="128"/>
      <c r="I22" s="128"/>
      <c r="J22" s="128"/>
    </row>
    <row r="23" spans="1:10" x14ac:dyDescent="0.25">
      <c r="A23" s="133">
        <v>14</v>
      </c>
      <c r="B23" s="132" t="s">
        <v>154</v>
      </c>
      <c r="C23" s="134" t="s">
        <v>131</v>
      </c>
      <c r="D23" s="124" t="s">
        <v>131</v>
      </c>
      <c r="E23" s="125"/>
      <c r="F23" s="125"/>
      <c r="G23" s="128">
        <v>30</v>
      </c>
      <c r="H23" s="128"/>
      <c r="I23" s="128"/>
      <c r="J23" s="128"/>
    </row>
    <row r="24" spans="1:10" x14ac:dyDescent="0.25">
      <c r="A24" s="129"/>
      <c r="B24" s="132" t="s">
        <v>168</v>
      </c>
      <c r="C24" s="134"/>
      <c r="D24" s="124"/>
      <c r="E24" s="124" t="s">
        <v>131</v>
      </c>
      <c r="F24" s="125"/>
      <c r="G24" s="128">
        <v>40</v>
      </c>
      <c r="H24" s="128"/>
      <c r="I24" s="128"/>
      <c r="J24" s="128"/>
    </row>
    <row r="25" spans="1:10" ht="25.2" customHeight="1" x14ac:dyDescent="0.25">
      <c r="A25" s="121">
        <v>15</v>
      </c>
      <c r="B25" s="136" t="s">
        <v>156</v>
      </c>
      <c r="C25" s="135"/>
      <c r="D25" s="126" t="s">
        <v>131</v>
      </c>
      <c r="E25" s="125"/>
      <c r="F25" s="126" t="s">
        <v>131</v>
      </c>
      <c r="G25" s="128">
        <v>180</v>
      </c>
      <c r="H25" s="128"/>
      <c r="I25" s="128">
        <v>400</v>
      </c>
      <c r="J25" s="128">
        <v>24</v>
      </c>
    </row>
    <row r="26" spans="1:10" ht="25.8" customHeight="1" x14ac:dyDescent="0.25">
      <c r="A26" s="133">
        <v>16</v>
      </c>
      <c r="B26" s="136" t="s">
        <v>157</v>
      </c>
      <c r="C26" s="135"/>
      <c r="D26" s="126" t="s">
        <v>131</v>
      </c>
      <c r="E26" s="125"/>
      <c r="F26" s="126" t="s">
        <v>131</v>
      </c>
      <c r="G26" s="128">
        <v>180</v>
      </c>
      <c r="H26" s="128"/>
      <c r="I26" s="128">
        <v>400</v>
      </c>
      <c r="J26" s="128">
        <v>24</v>
      </c>
    </row>
    <row r="27" spans="1:10" ht="24" customHeight="1" x14ac:dyDescent="0.25">
      <c r="A27" s="121">
        <v>17</v>
      </c>
      <c r="B27" s="136" t="s">
        <v>158</v>
      </c>
      <c r="C27" s="135"/>
      <c r="D27" s="126" t="s">
        <v>131</v>
      </c>
      <c r="E27" s="125"/>
      <c r="F27" s="126" t="s">
        <v>131</v>
      </c>
      <c r="G27" s="128">
        <v>180</v>
      </c>
      <c r="H27" s="128"/>
      <c r="I27" s="128">
        <v>400</v>
      </c>
      <c r="J27" s="128">
        <v>42</v>
      </c>
    </row>
    <row r="28" spans="1:10" ht="27" customHeight="1" x14ac:dyDescent="0.25">
      <c r="A28" s="133">
        <v>18</v>
      </c>
      <c r="B28" s="136" t="s">
        <v>159</v>
      </c>
      <c r="C28" s="135"/>
      <c r="D28" s="126" t="s">
        <v>131</v>
      </c>
      <c r="E28" s="125"/>
      <c r="F28" s="126" t="s">
        <v>131</v>
      </c>
      <c r="G28" s="128">
        <v>180</v>
      </c>
      <c r="H28" s="128"/>
      <c r="I28" s="128">
        <v>400</v>
      </c>
      <c r="J28" s="128">
        <v>42</v>
      </c>
    </row>
    <row r="29" spans="1:10" x14ac:dyDescent="0.25">
      <c r="B29" s="136" t="s">
        <v>169</v>
      </c>
      <c r="C29" s="119"/>
      <c r="D29" s="126" t="s">
        <v>131</v>
      </c>
      <c r="E29" s="119"/>
      <c r="F29" s="119"/>
      <c r="G29" s="119"/>
      <c r="H29" s="119"/>
      <c r="I29" s="132" t="s">
        <v>170</v>
      </c>
      <c r="J29" s="119"/>
    </row>
    <row r="32" spans="1:10" ht="17.399999999999999" x14ac:dyDescent="0.3">
      <c r="B32" s="139" t="s">
        <v>171</v>
      </c>
    </row>
    <row r="34" spans="2:10" ht="92.4" x14ac:dyDescent="0.3">
      <c r="B34" s="140" t="s">
        <v>180</v>
      </c>
      <c r="C34" s="137" t="s">
        <v>172</v>
      </c>
      <c r="D34" s="138" t="s">
        <v>179</v>
      </c>
      <c r="E34" s="137" t="s">
        <v>173</v>
      </c>
      <c r="G34" s="140" t="s">
        <v>179</v>
      </c>
      <c r="H34" s="137" t="s">
        <v>172</v>
      </c>
      <c r="I34" s="138" t="s">
        <v>179</v>
      </c>
      <c r="J34" s="137" t="s">
        <v>173</v>
      </c>
    </row>
    <row r="35" spans="2:10" x14ac:dyDescent="0.25">
      <c r="B35" s="132" t="s">
        <v>174</v>
      </c>
      <c r="C35" s="125">
        <f>1+25</f>
        <v>26</v>
      </c>
      <c r="D35" s="125"/>
      <c r="E35" s="125">
        <v>65</v>
      </c>
      <c r="G35" s="132" t="s">
        <v>174</v>
      </c>
      <c r="H35" s="125"/>
      <c r="I35" s="125">
        <v>60</v>
      </c>
      <c r="J35" s="125"/>
    </row>
    <row r="36" spans="2:10" x14ac:dyDescent="0.25">
      <c r="B36" s="132" t="s">
        <v>175</v>
      </c>
      <c r="C36" s="142">
        <v>2</v>
      </c>
      <c r="D36" s="142"/>
      <c r="E36" s="142"/>
      <c r="G36" s="132" t="s">
        <v>175</v>
      </c>
      <c r="H36" s="125"/>
      <c r="I36" s="125">
        <v>8</v>
      </c>
      <c r="J36" s="125"/>
    </row>
    <row r="37" spans="2:10" x14ac:dyDescent="0.25">
      <c r="B37" s="132" t="s">
        <v>176</v>
      </c>
      <c r="C37" s="142">
        <v>2</v>
      </c>
      <c r="D37" s="142"/>
      <c r="E37" s="142"/>
      <c r="G37" s="132" t="s">
        <v>176</v>
      </c>
      <c r="H37" s="125"/>
      <c r="I37" s="125">
        <v>2</v>
      </c>
      <c r="J37" s="125"/>
    </row>
    <row r="38" spans="2:10" x14ac:dyDescent="0.25">
      <c r="B38" s="132" t="s">
        <v>185</v>
      </c>
      <c r="C38" s="143" t="s">
        <v>186</v>
      </c>
      <c r="D38" s="142"/>
      <c r="E38" s="142"/>
      <c r="G38" s="132" t="s">
        <v>185</v>
      </c>
      <c r="H38" s="124" t="s">
        <v>188</v>
      </c>
      <c r="I38" s="125"/>
      <c r="J38" s="125"/>
    </row>
    <row r="39" spans="2:10" x14ac:dyDescent="0.25">
      <c r="B39" s="132" t="s">
        <v>178</v>
      </c>
      <c r="C39" s="142">
        <f>24*4</f>
        <v>96</v>
      </c>
      <c r="D39" s="142"/>
      <c r="E39" s="142"/>
      <c r="G39" s="132" t="s">
        <v>178</v>
      </c>
      <c r="I39" s="125">
        <f>30*5</f>
        <v>150</v>
      </c>
      <c r="J39" s="125"/>
    </row>
    <row r="40" spans="2:10" x14ac:dyDescent="0.25">
      <c r="B40" s="132" t="s">
        <v>16</v>
      </c>
      <c r="C40" s="141">
        <v>0.35560000000000003</v>
      </c>
      <c r="D40" s="142"/>
      <c r="E40" s="142"/>
      <c r="G40" s="132" t="s">
        <v>16</v>
      </c>
      <c r="H40" s="125"/>
      <c r="I40" s="141">
        <v>0.94440000000000002</v>
      </c>
      <c r="J40" s="125"/>
    </row>
    <row r="42" spans="2:10" ht="92.4" x14ac:dyDescent="0.3">
      <c r="B42" s="140" t="s">
        <v>181</v>
      </c>
      <c r="C42" s="137" t="s">
        <v>172</v>
      </c>
      <c r="D42" s="138" t="s">
        <v>179</v>
      </c>
      <c r="E42" s="137" t="s">
        <v>173</v>
      </c>
      <c r="G42" s="140" t="s">
        <v>182</v>
      </c>
      <c r="H42" s="137" t="s">
        <v>172</v>
      </c>
      <c r="I42" s="138" t="s">
        <v>179</v>
      </c>
      <c r="J42" s="137" t="s">
        <v>173</v>
      </c>
    </row>
    <row r="43" spans="2:10" x14ac:dyDescent="0.25">
      <c r="B43" s="132" t="s">
        <v>174</v>
      </c>
      <c r="C43" s="125">
        <v>45</v>
      </c>
      <c r="D43" s="125"/>
      <c r="E43" s="125"/>
      <c r="G43" s="132" t="s">
        <v>174</v>
      </c>
      <c r="H43" s="125">
        <v>45</v>
      </c>
      <c r="I43" s="125"/>
      <c r="J43" s="125"/>
    </row>
    <row r="44" spans="2:10" x14ac:dyDescent="0.25">
      <c r="B44" s="132" t="s">
        <v>175</v>
      </c>
      <c r="C44" s="125"/>
      <c r="D44" s="125">
        <v>2</v>
      </c>
      <c r="E44" s="125"/>
      <c r="G44" s="132" t="s">
        <v>175</v>
      </c>
      <c r="H44" s="125"/>
      <c r="I44" s="125">
        <v>2</v>
      </c>
      <c r="J44" s="125"/>
    </row>
    <row r="45" spans="2:10" x14ac:dyDescent="0.25">
      <c r="B45" s="132" t="s">
        <v>176</v>
      </c>
      <c r="C45" s="125"/>
      <c r="D45" s="125">
        <v>2</v>
      </c>
      <c r="E45" s="125"/>
      <c r="G45" s="132" t="s">
        <v>176</v>
      </c>
      <c r="H45" s="125"/>
      <c r="I45" s="125">
        <v>2</v>
      </c>
      <c r="J45" s="125"/>
    </row>
    <row r="46" spans="2:10" x14ac:dyDescent="0.25">
      <c r="B46" s="132" t="s">
        <v>185</v>
      </c>
      <c r="C46" s="124" t="s">
        <v>186</v>
      </c>
      <c r="D46" s="125"/>
      <c r="E46" s="125"/>
      <c r="G46" s="132" t="s">
        <v>185</v>
      </c>
      <c r="H46" s="124" t="s">
        <v>187</v>
      </c>
      <c r="I46" s="125"/>
      <c r="J46" s="125"/>
    </row>
    <row r="47" spans="2:10" x14ac:dyDescent="0.25">
      <c r="B47" s="132" t="s">
        <v>178</v>
      </c>
      <c r="C47" s="125"/>
      <c r="D47" s="125">
        <v>96</v>
      </c>
      <c r="E47" s="125"/>
      <c r="G47" s="132" t="s">
        <v>178</v>
      </c>
      <c r="H47" s="125"/>
      <c r="I47" s="125">
        <v>96</v>
      </c>
      <c r="J47" s="125"/>
    </row>
    <row r="48" spans="2:10" x14ac:dyDescent="0.25">
      <c r="B48" s="132" t="s">
        <v>16</v>
      </c>
      <c r="C48" s="141">
        <v>0.99539999999999995</v>
      </c>
      <c r="D48" s="125"/>
      <c r="E48" s="125"/>
      <c r="G48" s="132" t="s">
        <v>16</v>
      </c>
      <c r="H48" s="141">
        <v>0.88619999999999999</v>
      </c>
      <c r="I48" s="125"/>
      <c r="J48" s="125"/>
    </row>
    <row r="50" spans="2:10" ht="92.4" x14ac:dyDescent="0.3">
      <c r="B50" s="140" t="s">
        <v>183</v>
      </c>
      <c r="C50" s="137" t="s">
        <v>172</v>
      </c>
      <c r="D50" s="138" t="s">
        <v>179</v>
      </c>
      <c r="E50" s="137" t="s">
        <v>173</v>
      </c>
      <c r="G50" s="140" t="s">
        <v>184</v>
      </c>
      <c r="H50" s="130" t="s">
        <v>172</v>
      </c>
      <c r="I50" s="131" t="s">
        <v>179</v>
      </c>
      <c r="J50" s="130" t="s">
        <v>173</v>
      </c>
    </row>
    <row r="51" spans="2:10" x14ac:dyDescent="0.25">
      <c r="B51" s="132" t="s">
        <v>174</v>
      </c>
      <c r="C51" s="125">
        <v>40</v>
      </c>
      <c r="D51" s="125"/>
      <c r="E51" s="125"/>
      <c r="G51" s="132" t="s">
        <v>174</v>
      </c>
      <c r="H51" s="125">
        <v>40</v>
      </c>
      <c r="I51" s="125"/>
      <c r="J51" s="125"/>
    </row>
    <row r="52" spans="2:10" x14ac:dyDescent="0.25">
      <c r="B52" s="132" t="s">
        <v>175</v>
      </c>
      <c r="C52" s="125"/>
      <c r="D52" s="125">
        <v>2</v>
      </c>
      <c r="E52" s="125"/>
      <c r="G52" s="132" t="s">
        <v>175</v>
      </c>
      <c r="H52" s="125"/>
      <c r="I52" s="125"/>
      <c r="J52" s="125">
        <v>8</v>
      </c>
    </row>
    <row r="53" spans="2:10" x14ac:dyDescent="0.25">
      <c r="B53" s="132" t="s">
        <v>176</v>
      </c>
      <c r="C53" s="125"/>
      <c r="D53" s="125">
        <v>2</v>
      </c>
      <c r="E53" s="125"/>
      <c r="G53" s="132" t="s">
        <v>176</v>
      </c>
      <c r="H53" s="125"/>
      <c r="I53" s="125"/>
      <c r="J53" s="125">
        <v>2</v>
      </c>
    </row>
    <row r="54" spans="2:10" x14ac:dyDescent="0.25">
      <c r="B54" s="132" t="s">
        <v>185</v>
      </c>
      <c r="C54" s="124" t="s">
        <v>186</v>
      </c>
      <c r="D54" s="125"/>
      <c r="E54" s="125"/>
      <c r="G54" s="132" t="s">
        <v>177</v>
      </c>
      <c r="H54" s="125"/>
      <c r="I54" s="125"/>
      <c r="J54" s="125"/>
    </row>
    <row r="55" spans="2:10" x14ac:dyDescent="0.25">
      <c r="B55" s="132" t="s">
        <v>178</v>
      </c>
      <c r="C55" s="125">
        <v>48</v>
      </c>
      <c r="E55" s="125"/>
      <c r="G55" s="132" t="s">
        <v>178</v>
      </c>
      <c r="H55" s="125">
        <v>480</v>
      </c>
      <c r="I55" s="125"/>
      <c r="J55" s="125">
        <f>20*20</f>
        <v>400</v>
      </c>
    </row>
    <row r="56" spans="2:10" x14ac:dyDescent="0.25">
      <c r="B56" s="132" t="s">
        <v>16</v>
      </c>
      <c r="C56" s="141">
        <v>0.98080000000000001</v>
      </c>
      <c r="D56" s="125"/>
      <c r="E56" s="125"/>
      <c r="G56" s="132" t="s">
        <v>16</v>
      </c>
      <c r="H56" s="141">
        <v>0.99539999999999995</v>
      </c>
      <c r="I56" s="125"/>
      <c r="J56" s="125"/>
    </row>
  </sheetData>
  <mergeCells count="5">
    <mergeCell ref="C4:F4"/>
    <mergeCell ref="B4:B5"/>
    <mergeCell ref="K5:L5"/>
    <mergeCell ref="G4:J4"/>
    <mergeCell ref="A4:A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L4" sqref="L4"/>
    </sheetView>
  </sheetViews>
  <sheetFormatPr baseColWidth="10" defaultColWidth="11.44140625" defaultRowHeight="13.2" x14ac:dyDescent="0.25"/>
  <cols>
    <col min="1" max="1" width="22.88671875" style="2" customWidth="1"/>
    <col min="2" max="4" width="3.6640625" style="2" bestFit="1" customWidth="1"/>
    <col min="5" max="5" width="4.109375" style="2" customWidth="1"/>
    <col min="6" max="6" width="4" style="2" customWidth="1"/>
    <col min="7" max="8" width="3.5546875" style="2" customWidth="1"/>
    <col min="9" max="9" width="4" style="2" customWidth="1"/>
    <col min="10" max="10" width="3.33203125" style="2" customWidth="1"/>
    <col min="11" max="11" width="3.88671875" style="2" customWidth="1"/>
    <col min="12" max="16384" width="11.44140625" style="2"/>
  </cols>
  <sheetData>
    <row r="1" spans="1:11" x14ac:dyDescent="0.25">
      <c r="A1" s="2" t="s">
        <v>117</v>
      </c>
    </row>
    <row r="3" spans="1:11" x14ac:dyDescent="0.25">
      <c r="E3" s="61">
        <v>1</v>
      </c>
      <c r="F3" s="61">
        <v>2</v>
      </c>
      <c r="G3" s="61">
        <v>3</v>
      </c>
      <c r="H3" s="61">
        <v>4</v>
      </c>
      <c r="I3" s="61">
        <v>5</v>
      </c>
      <c r="J3" s="61">
        <v>6</v>
      </c>
      <c r="K3" s="61">
        <v>7</v>
      </c>
    </row>
    <row r="4" spans="1:11" ht="153.6" x14ac:dyDescent="0.25">
      <c r="A4" s="2" t="s">
        <v>118</v>
      </c>
      <c r="B4" s="111" t="s">
        <v>127</v>
      </c>
      <c r="C4" s="111" t="s">
        <v>128</v>
      </c>
      <c r="D4" s="111" t="s">
        <v>160</v>
      </c>
      <c r="E4" s="111" t="s">
        <v>129</v>
      </c>
      <c r="F4" s="111" t="s">
        <v>130</v>
      </c>
      <c r="G4" s="111" t="s">
        <v>133</v>
      </c>
      <c r="H4" s="111" t="s">
        <v>134</v>
      </c>
      <c r="I4" s="112"/>
    </row>
    <row r="5" spans="1:11" x14ac:dyDescent="0.25">
      <c r="A5" s="116" t="s">
        <v>119</v>
      </c>
      <c r="B5" s="115" t="s">
        <v>131</v>
      </c>
      <c r="C5" s="115" t="s">
        <v>131</v>
      </c>
      <c r="D5" s="115" t="s">
        <v>131</v>
      </c>
      <c r="E5" s="115" t="s">
        <v>131</v>
      </c>
      <c r="F5" s="115" t="s">
        <v>131</v>
      </c>
      <c r="G5" s="114"/>
      <c r="H5" s="114"/>
    </row>
    <row r="6" spans="1:11" x14ac:dyDescent="0.25">
      <c r="A6" s="114" t="s">
        <v>120</v>
      </c>
      <c r="B6" s="115" t="s">
        <v>131</v>
      </c>
      <c r="C6" s="115" t="s">
        <v>131</v>
      </c>
      <c r="D6" s="115"/>
      <c r="E6" s="115"/>
      <c r="F6" s="115" t="s">
        <v>131</v>
      </c>
      <c r="G6" s="114"/>
      <c r="H6" s="114"/>
      <c r="J6" s="2" t="s">
        <v>135</v>
      </c>
    </row>
    <row r="7" spans="1:11" x14ac:dyDescent="0.25">
      <c r="A7" s="114" t="s">
        <v>121</v>
      </c>
      <c r="B7" s="115" t="s">
        <v>131</v>
      </c>
      <c r="C7" s="115" t="s">
        <v>131</v>
      </c>
      <c r="D7" s="115" t="s">
        <v>131</v>
      </c>
      <c r="E7" s="115"/>
      <c r="F7" s="115" t="s">
        <v>131</v>
      </c>
      <c r="G7" s="114"/>
      <c r="H7" s="114"/>
    </row>
    <row r="8" spans="1:11" x14ac:dyDescent="0.25">
      <c r="A8" s="112" t="s">
        <v>122</v>
      </c>
      <c r="B8" s="113"/>
      <c r="C8" s="113" t="s">
        <v>131</v>
      </c>
      <c r="D8" s="113" t="s">
        <v>131</v>
      </c>
      <c r="E8" s="113"/>
      <c r="F8" s="113"/>
      <c r="G8" s="112"/>
      <c r="H8" s="112"/>
    </row>
    <row r="9" spans="1:11" x14ac:dyDescent="0.25">
      <c r="A9" s="112" t="s">
        <v>132</v>
      </c>
      <c r="B9" s="113"/>
      <c r="C9" s="113"/>
      <c r="D9" s="113"/>
      <c r="E9" s="113" t="s">
        <v>131</v>
      </c>
      <c r="F9" s="113"/>
      <c r="G9" s="112"/>
      <c r="H9" s="112"/>
    </row>
    <row r="10" spans="1:11" x14ac:dyDescent="0.25">
      <c r="A10" s="112" t="s">
        <v>123</v>
      </c>
      <c r="B10" s="113"/>
      <c r="C10" s="113"/>
      <c r="D10" s="113"/>
      <c r="E10" s="113"/>
      <c r="F10" s="113"/>
      <c r="G10" s="113"/>
      <c r="H10" s="113" t="s">
        <v>131</v>
      </c>
    </row>
    <row r="11" spans="1:11" x14ac:dyDescent="0.25">
      <c r="A11" s="112" t="s">
        <v>124</v>
      </c>
      <c r="B11" s="113"/>
      <c r="C11" s="113"/>
      <c r="D11" s="113"/>
      <c r="E11" s="113"/>
      <c r="F11" s="113"/>
      <c r="G11" s="113" t="s">
        <v>131</v>
      </c>
      <c r="H11" s="113"/>
    </row>
    <row r="12" spans="1:11" x14ac:dyDescent="0.25">
      <c r="A12" s="112" t="s">
        <v>125</v>
      </c>
      <c r="B12" s="113"/>
      <c r="C12" s="113"/>
      <c r="D12" s="113" t="s">
        <v>131</v>
      </c>
      <c r="E12" s="113"/>
      <c r="F12" s="113"/>
      <c r="G12" s="113" t="s">
        <v>131</v>
      </c>
      <c r="H12" s="113" t="s">
        <v>131</v>
      </c>
    </row>
    <row r="13" spans="1:11" x14ac:dyDescent="0.25">
      <c r="A13" s="112" t="s">
        <v>126</v>
      </c>
      <c r="B13" s="113"/>
      <c r="C13" s="113"/>
      <c r="D13" s="113"/>
      <c r="E13" s="113"/>
      <c r="F13" s="113"/>
      <c r="G13" s="113"/>
      <c r="H13" s="113" t="s">
        <v>131</v>
      </c>
    </row>
  </sheetData>
  <phoneticPr fontId="1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C5F8-F07B-49E3-B491-56F28D3B885E}">
  <dimension ref="C1:Z107"/>
  <sheetViews>
    <sheetView topLeftCell="E56" workbookViewId="0">
      <selection activeCell="M79" sqref="M79"/>
    </sheetView>
  </sheetViews>
  <sheetFormatPr baseColWidth="10" defaultColWidth="11.44140625" defaultRowHeight="13.2" x14ac:dyDescent="0.25"/>
  <cols>
    <col min="1" max="7" width="11.44140625" style="2"/>
    <col min="8" max="8" width="16.5546875" style="2" customWidth="1"/>
    <col min="9" max="10" width="11.44140625" style="2"/>
    <col min="11" max="11" width="12.6640625" style="2" customWidth="1"/>
    <col min="12" max="12" width="7.6640625" style="2" customWidth="1"/>
    <col min="13" max="16384" width="11.44140625" style="2"/>
  </cols>
  <sheetData>
    <row r="1" spans="13:21" ht="13.8" thickBot="1" x14ac:dyDescent="0.3"/>
    <row r="2" spans="13:21" x14ac:dyDescent="0.25">
      <c r="M2" s="94" t="s">
        <v>100</v>
      </c>
      <c r="N2" s="70"/>
      <c r="O2" s="70"/>
      <c r="P2" s="70"/>
      <c r="Q2" s="70"/>
      <c r="R2" s="70"/>
      <c r="S2" s="70"/>
      <c r="T2" s="70"/>
      <c r="U2" s="71"/>
    </row>
    <row r="3" spans="13:21" x14ac:dyDescent="0.25">
      <c r="M3" s="72"/>
      <c r="U3" s="73"/>
    </row>
    <row r="4" spans="13:21" x14ac:dyDescent="0.25">
      <c r="M4" s="72"/>
      <c r="U4" s="73"/>
    </row>
    <row r="5" spans="13:21" x14ac:dyDescent="0.25">
      <c r="M5" s="72"/>
      <c r="U5" s="73"/>
    </row>
    <row r="6" spans="13:21" x14ac:dyDescent="0.25">
      <c r="M6" s="72"/>
      <c r="U6" s="73"/>
    </row>
    <row r="7" spans="13:21" x14ac:dyDescent="0.25">
      <c r="M7" s="72"/>
      <c r="U7" s="73"/>
    </row>
    <row r="8" spans="13:21" ht="13.8" thickBot="1" x14ac:dyDescent="0.3">
      <c r="M8" s="74"/>
      <c r="N8" s="75"/>
      <c r="O8" s="75"/>
      <c r="P8" s="75"/>
      <c r="Q8" s="75"/>
      <c r="R8" s="75"/>
      <c r="S8" s="75"/>
      <c r="T8" s="75"/>
      <c r="U8" s="76"/>
    </row>
    <row r="17" spans="3:15" ht="13.8" thickBot="1" x14ac:dyDescent="0.3">
      <c r="K17" s="2" t="s">
        <v>104</v>
      </c>
    </row>
    <row r="18" spans="3:15" x14ac:dyDescent="0.25">
      <c r="C18" s="94" t="s">
        <v>99</v>
      </c>
      <c r="D18" s="70"/>
      <c r="E18" s="70"/>
      <c r="F18" s="70"/>
      <c r="G18" s="70"/>
      <c r="H18" s="71"/>
    </row>
    <row r="19" spans="3:15" ht="13.8" thickBot="1" x14ac:dyDescent="0.3">
      <c r="C19" s="72"/>
      <c r="H19" s="73"/>
    </row>
    <row r="20" spans="3:15" x14ac:dyDescent="0.25">
      <c r="C20" s="72"/>
      <c r="H20" s="73"/>
      <c r="L20" s="94" t="s">
        <v>103</v>
      </c>
      <c r="M20" s="100">
        <v>16</v>
      </c>
      <c r="N20" s="101">
        <f>+M20/M21</f>
        <v>0.47058823529411764</v>
      </c>
      <c r="O20" s="102" t="s">
        <v>106</v>
      </c>
    </row>
    <row r="21" spans="3:15" ht="13.8" thickBot="1" x14ac:dyDescent="0.3">
      <c r="C21" s="74"/>
      <c r="D21" s="75"/>
      <c r="E21" s="75"/>
      <c r="F21" s="75"/>
      <c r="G21" s="75"/>
      <c r="H21" s="76"/>
      <c r="L21" s="13"/>
      <c r="M21" s="103">
        <v>34</v>
      </c>
      <c r="N21" s="103"/>
      <c r="O21" s="104"/>
    </row>
    <row r="22" spans="3:15" ht="15.6" thickBot="1" x14ac:dyDescent="0.3">
      <c r="C22" s="95" t="s">
        <v>92</v>
      </c>
      <c r="D22" s="70"/>
      <c r="E22" s="70"/>
      <c r="F22" s="70"/>
      <c r="G22" s="70"/>
      <c r="H22" s="71"/>
    </row>
    <row r="23" spans="3:15" x14ac:dyDescent="0.25">
      <c r="C23" s="69"/>
      <c r="D23" s="71"/>
      <c r="H23" s="73"/>
      <c r="L23" s="2" t="s">
        <v>105</v>
      </c>
      <c r="M23" s="2">
        <v>16</v>
      </c>
      <c r="N23" s="99">
        <f>+M23/M24</f>
        <v>1.4545454545454546</v>
      </c>
      <c r="O23" s="2" t="s">
        <v>106</v>
      </c>
    </row>
    <row r="24" spans="3:15" x14ac:dyDescent="0.25">
      <c r="C24" s="9" t="s">
        <v>93</v>
      </c>
      <c r="D24" s="73"/>
      <c r="F24" s="85" t="s">
        <v>91</v>
      </c>
      <c r="H24" s="73"/>
      <c r="M24" s="2">
        <v>11</v>
      </c>
    </row>
    <row r="25" spans="3:15" x14ac:dyDescent="0.25">
      <c r="C25" s="72"/>
      <c r="D25" s="73"/>
      <c r="H25" s="73"/>
    </row>
    <row r="26" spans="3:15" x14ac:dyDescent="0.25">
      <c r="C26" s="72"/>
      <c r="D26" s="73"/>
      <c r="H26" s="73"/>
    </row>
    <row r="27" spans="3:15" x14ac:dyDescent="0.25">
      <c r="C27" s="72"/>
      <c r="D27" s="73"/>
      <c r="H27" s="73"/>
    </row>
    <row r="28" spans="3:15" x14ac:dyDescent="0.25">
      <c r="C28" s="72"/>
      <c r="D28" s="73"/>
      <c r="H28" s="73"/>
    </row>
    <row r="29" spans="3:15" x14ac:dyDescent="0.25">
      <c r="C29" s="72"/>
      <c r="D29" s="73"/>
      <c r="H29" s="73"/>
    </row>
    <row r="30" spans="3:15" x14ac:dyDescent="0.25">
      <c r="C30" s="72"/>
      <c r="D30" s="73"/>
      <c r="H30" s="73"/>
    </row>
    <row r="31" spans="3:15" ht="24" x14ac:dyDescent="0.35">
      <c r="C31" s="86" t="s">
        <v>94</v>
      </c>
      <c r="D31" s="86"/>
      <c r="E31" s="87"/>
      <c r="F31" s="87"/>
      <c r="G31" s="85"/>
      <c r="H31" s="88"/>
    </row>
    <row r="32" spans="3:15" x14ac:dyDescent="0.25">
      <c r="C32" s="72"/>
      <c r="H32" s="73"/>
    </row>
    <row r="33" spans="3:12" x14ac:dyDescent="0.25">
      <c r="C33" s="72"/>
      <c r="D33" s="73"/>
      <c r="H33" s="73"/>
    </row>
    <row r="34" spans="3:12" x14ac:dyDescent="0.25">
      <c r="C34" s="72"/>
      <c r="D34" s="73"/>
      <c r="H34" s="73"/>
    </row>
    <row r="35" spans="3:12" ht="13.8" thickBot="1" x14ac:dyDescent="0.3">
      <c r="C35" s="72"/>
      <c r="D35" s="73"/>
      <c r="H35" s="73"/>
    </row>
    <row r="36" spans="3:12" ht="17.399999999999999" x14ac:dyDescent="0.3">
      <c r="C36" s="72"/>
      <c r="D36" s="73"/>
      <c r="H36" s="73"/>
      <c r="K36" s="3" t="s">
        <v>81</v>
      </c>
      <c r="L36" s="4"/>
    </row>
    <row r="37" spans="3:12" ht="17.399999999999999" x14ac:dyDescent="0.3">
      <c r="C37" s="72"/>
      <c r="D37" s="73"/>
      <c r="H37" s="73"/>
      <c r="K37" s="5"/>
      <c r="L37" s="6">
        <v>2</v>
      </c>
    </row>
    <row r="38" spans="3:12" ht="13.8" thickBot="1" x14ac:dyDescent="0.3">
      <c r="C38" s="72"/>
      <c r="D38" s="73"/>
      <c r="H38" s="73"/>
      <c r="K38" s="7" t="s">
        <v>79</v>
      </c>
      <c r="L38" s="8"/>
    </row>
    <row r="39" spans="3:12" x14ac:dyDescent="0.25">
      <c r="C39" s="72"/>
      <c r="D39" s="73"/>
      <c r="H39" s="73"/>
      <c r="K39" s="9" t="s">
        <v>64</v>
      </c>
      <c r="L39" s="10">
        <v>16</v>
      </c>
    </row>
    <row r="40" spans="3:12" x14ac:dyDescent="0.25">
      <c r="C40" s="72"/>
      <c r="D40" s="73"/>
      <c r="H40" s="73"/>
      <c r="K40" s="9" t="s">
        <v>6</v>
      </c>
      <c r="L40" s="11">
        <v>3</v>
      </c>
    </row>
    <row r="41" spans="3:12" x14ac:dyDescent="0.25">
      <c r="C41" s="72"/>
      <c r="D41" s="73"/>
      <c r="H41" s="73"/>
      <c r="K41" s="9" t="s">
        <v>4</v>
      </c>
      <c r="L41" s="12">
        <v>0.5</v>
      </c>
    </row>
    <row r="42" spans="3:12" x14ac:dyDescent="0.25">
      <c r="C42" s="72"/>
      <c r="D42" s="73"/>
      <c r="H42" s="73"/>
      <c r="K42" s="9" t="s">
        <v>68</v>
      </c>
      <c r="L42" s="11">
        <v>14</v>
      </c>
    </row>
    <row r="43" spans="3:12" ht="13.8" thickBot="1" x14ac:dyDescent="0.3">
      <c r="C43" s="74"/>
      <c r="D43" s="76"/>
      <c r="E43" s="75"/>
      <c r="F43" s="75"/>
      <c r="G43" s="75"/>
      <c r="H43" s="76"/>
      <c r="K43" s="9" t="s">
        <v>16</v>
      </c>
      <c r="L43" s="96">
        <f>+(120-15)/120</f>
        <v>0.875</v>
      </c>
    </row>
    <row r="44" spans="3:12" x14ac:dyDescent="0.25">
      <c r="K44" s="9" t="s">
        <v>65</v>
      </c>
      <c r="L44" s="11"/>
    </row>
    <row r="45" spans="3:12" ht="13.8" thickBot="1" x14ac:dyDescent="0.3">
      <c r="K45" s="13"/>
      <c r="L45" s="14"/>
    </row>
    <row r="46" spans="3:12" ht="13.8" thickBot="1" x14ac:dyDescent="0.3"/>
    <row r="47" spans="3:12" ht="17.399999999999999" x14ac:dyDescent="0.3">
      <c r="D47" s="3" t="s">
        <v>81</v>
      </c>
      <c r="E47" s="4"/>
      <c r="H47" s="94" t="s">
        <v>98</v>
      </c>
      <c r="I47" s="70"/>
      <c r="J47" s="70"/>
      <c r="K47" s="71"/>
    </row>
    <row r="48" spans="3:12" ht="17.399999999999999" x14ac:dyDescent="0.3">
      <c r="D48" s="5"/>
      <c r="E48" s="6">
        <v>2</v>
      </c>
      <c r="H48" s="72"/>
      <c r="K48" s="73"/>
    </row>
    <row r="49" spans="3:26" ht="13.8" thickBot="1" x14ac:dyDescent="0.3">
      <c r="D49" s="7" t="s">
        <v>80</v>
      </c>
      <c r="E49" s="8"/>
      <c r="H49" s="72"/>
      <c r="K49" s="73"/>
    </row>
    <row r="50" spans="3:26" x14ac:dyDescent="0.25">
      <c r="D50" s="9" t="s">
        <v>64</v>
      </c>
      <c r="E50" s="10">
        <v>16</v>
      </c>
      <c r="H50" s="72"/>
      <c r="K50" s="73"/>
    </row>
    <row r="51" spans="3:26" x14ac:dyDescent="0.25">
      <c r="D51" s="9" t="s">
        <v>6</v>
      </c>
      <c r="E51" s="11">
        <v>3</v>
      </c>
      <c r="H51" s="72"/>
      <c r="K51" s="73"/>
    </row>
    <row r="52" spans="3:26" x14ac:dyDescent="0.25">
      <c r="D52" s="9" t="s">
        <v>4</v>
      </c>
      <c r="E52" s="12">
        <v>0.5</v>
      </c>
      <c r="H52" s="72"/>
      <c r="K52" s="73"/>
    </row>
    <row r="53" spans="3:26" x14ac:dyDescent="0.25">
      <c r="D53" s="9" t="s">
        <v>68</v>
      </c>
      <c r="E53" s="11">
        <v>12</v>
      </c>
      <c r="H53" s="72"/>
      <c r="K53" s="73"/>
    </row>
    <row r="54" spans="3:26" x14ac:dyDescent="0.25">
      <c r="D54" s="9" t="s">
        <v>16</v>
      </c>
      <c r="E54" s="96">
        <f>+(260-5)/260</f>
        <v>0.98076923076923073</v>
      </c>
      <c r="H54" s="72"/>
      <c r="K54" s="73"/>
    </row>
    <row r="55" spans="3:26" x14ac:dyDescent="0.25">
      <c r="D55" s="9" t="s">
        <v>65</v>
      </c>
      <c r="E55" s="11"/>
      <c r="H55" s="72"/>
      <c r="K55" s="73"/>
    </row>
    <row r="56" spans="3:26" ht="13.8" thickBot="1" x14ac:dyDescent="0.3">
      <c r="D56" s="13"/>
      <c r="E56" s="14"/>
      <c r="H56" s="74"/>
      <c r="I56" s="75"/>
      <c r="J56" s="75"/>
      <c r="K56" s="76"/>
    </row>
    <row r="57" spans="3:26" x14ac:dyDescent="0.25">
      <c r="C57" s="85"/>
    </row>
    <row r="58" spans="3:26" x14ac:dyDescent="0.25">
      <c r="C58" s="85"/>
    </row>
    <row r="59" spans="3:26" ht="13.8" thickBot="1" x14ac:dyDescent="0.3">
      <c r="C59" s="85"/>
    </row>
    <row r="60" spans="3:26" ht="17.399999999999999" x14ac:dyDescent="0.3">
      <c r="C60" s="3" t="s">
        <v>88</v>
      </c>
      <c r="D60" s="4"/>
      <c r="E60" s="82"/>
    </row>
    <row r="61" spans="3:26" ht="17.399999999999999" x14ac:dyDescent="0.3">
      <c r="C61" s="5"/>
      <c r="D61" s="6">
        <v>4</v>
      </c>
      <c r="E61" s="83"/>
    </row>
    <row r="62" spans="3:26" ht="13.8" thickBot="1" x14ac:dyDescent="0.3">
      <c r="C62" s="7" t="s">
        <v>107</v>
      </c>
      <c r="D62" s="8"/>
      <c r="E62" s="84"/>
    </row>
    <row r="63" spans="3:26" ht="18" thickBot="1" x14ac:dyDescent="0.35">
      <c r="C63" s="9" t="s">
        <v>64</v>
      </c>
      <c r="D63" s="10">
        <v>16</v>
      </c>
      <c r="E63" s="80"/>
      <c r="F63" s="82"/>
      <c r="G63" s="82"/>
      <c r="H63" s="82"/>
      <c r="K63" s="3" t="s">
        <v>82</v>
      </c>
      <c r="L63" s="4"/>
      <c r="U63" s="223" t="s">
        <v>111</v>
      </c>
    </row>
    <row r="64" spans="3:26" ht="17.399999999999999" x14ac:dyDescent="0.3">
      <c r="C64" s="9" t="s">
        <v>6</v>
      </c>
      <c r="D64" s="11">
        <v>1</v>
      </c>
      <c r="E64" s="80"/>
      <c r="F64" s="83"/>
      <c r="G64" s="83"/>
      <c r="H64" s="83"/>
      <c r="K64" s="5"/>
      <c r="L64" s="6">
        <v>2</v>
      </c>
      <c r="O64" s="94" t="s">
        <v>89</v>
      </c>
      <c r="P64" s="70"/>
      <c r="Q64" s="70"/>
      <c r="R64" s="71"/>
      <c r="S64" s="89"/>
      <c r="U64" s="224"/>
      <c r="W64" s="94" t="s">
        <v>95</v>
      </c>
      <c r="X64" s="70"/>
      <c r="Y64" s="70"/>
      <c r="Z64" s="71"/>
    </row>
    <row r="65" spans="3:26" ht="13.8" thickBot="1" x14ac:dyDescent="0.3">
      <c r="C65" s="9" t="s">
        <v>4</v>
      </c>
      <c r="D65" s="12">
        <v>0.2</v>
      </c>
      <c r="E65" s="81"/>
      <c r="F65" s="84"/>
      <c r="G65" s="84"/>
      <c r="H65" s="84"/>
      <c r="K65" s="7" t="s">
        <v>83</v>
      </c>
      <c r="L65" s="8"/>
      <c r="O65" s="72"/>
      <c r="R65" s="73"/>
      <c r="S65" s="225" t="s">
        <v>90</v>
      </c>
      <c r="U65" s="224"/>
      <c r="W65" s="72"/>
      <c r="Z65" s="73"/>
    </row>
    <row r="66" spans="3:26" x14ac:dyDescent="0.25">
      <c r="C66" s="9" t="s">
        <v>68</v>
      </c>
      <c r="D66" s="11">
        <v>12</v>
      </c>
      <c r="E66" s="80"/>
      <c r="F66" s="80"/>
      <c r="G66" s="80"/>
      <c r="H66" s="80"/>
      <c r="K66" s="9" t="s">
        <v>64</v>
      </c>
      <c r="L66" s="10">
        <v>16</v>
      </c>
      <c r="O66" s="72"/>
      <c r="R66" s="73"/>
      <c r="S66" s="226"/>
      <c r="U66" s="224"/>
      <c r="W66" s="72"/>
      <c r="Z66" s="73"/>
    </row>
    <row r="67" spans="3:26" x14ac:dyDescent="0.25">
      <c r="C67" s="9" t="s">
        <v>16</v>
      </c>
      <c r="D67" s="96">
        <f>+(18-1)/18</f>
        <v>0.94444444444444442</v>
      </c>
      <c r="E67" s="98"/>
      <c r="F67" s="80"/>
      <c r="G67" s="80"/>
      <c r="H67" s="80"/>
      <c r="K67" s="9" t="s">
        <v>6</v>
      </c>
      <c r="L67" s="11">
        <v>0.2</v>
      </c>
      <c r="O67" s="72"/>
      <c r="R67" s="73"/>
      <c r="S67" s="226"/>
      <c r="U67" s="224"/>
      <c r="W67" s="72"/>
      <c r="Z67" s="73"/>
    </row>
    <row r="68" spans="3:26" x14ac:dyDescent="0.25">
      <c r="C68" s="9" t="s">
        <v>65</v>
      </c>
      <c r="D68" s="11"/>
      <c r="E68" s="80"/>
      <c r="F68" s="81"/>
      <c r="G68" s="81"/>
      <c r="H68" s="81"/>
      <c r="K68" s="9" t="s">
        <v>4</v>
      </c>
      <c r="L68" s="12">
        <v>0.1</v>
      </c>
      <c r="O68" s="72"/>
      <c r="R68" s="73"/>
      <c r="S68" s="226"/>
      <c r="U68" s="224"/>
      <c r="W68" s="72"/>
      <c r="Z68" s="73"/>
    </row>
    <row r="69" spans="3:26" ht="13.8" thickBot="1" x14ac:dyDescent="0.3">
      <c r="C69" s="13"/>
      <c r="D69" s="14"/>
      <c r="F69" s="80"/>
      <c r="G69" s="80"/>
      <c r="H69" s="80"/>
      <c r="K69" s="9" t="s">
        <v>68</v>
      </c>
      <c r="L69" s="11">
        <v>14</v>
      </c>
      <c r="O69" s="72"/>
      <c r="R69" s="73"/>
      <c r="S69" s="226"/>
      <c r="U69" s="224"/>
      <c r="W69" s="72"/>
      <c r="Z69" s="73"/>
    </row>
    <row r="70" spans="3:26" x14ac:dyDescent="0.25">
      <c r="F70" s="80"/>
      <c r="G70" s="80"/>
      <c r="H70" s="80"/>
      <c r="K70" s="9" t="s">
        <v>16</v>
      </c>
      <c r="L70" s="96">
        <f>+(123-14)/123</f>
        <v>0.88617886178861793</v>
      </c>
      <c r="O70" s="72"/>
      <c r="R70" s="73"/>
      <c r="S70" s="226"/>
      <c r="U70" s="224"/>
      <c r="W70" s="72"/>
      <c r="Z70" s="73"/>
    </row>
    <row r="71" spans="3:26" x14ac:dyDescent="0.25">
      <c r="F71" s="80"/>
      <c r="G71" s="80"/>
      <c r="H71" s="80"/>
      <c r="K71" s="9" t="s">
        <v>65</v>
      </c>
      <c r="L71" s="11"/>
      <c r="O71" s="72"/>
      <c r="R71" s="73"/>
      <c r="S71" s="226"/>
      <c r="U71" s="224"/>
      <c r="W71" s="72"/>
      <c r="Z71" s="73"/>
    </row>
    <row r="72" spans="3:26" ht="13.8" thickBot="1" x14ac:dyDescent="0.3">
      <c r="K72" s="13"/>
      <c r="L72" s="14"/>
      <c r="O72" s="72"/>
      <c r="R72" s="73"/>
      <c r="S72" s="226"/>
      <c r="U72" s="224"/>
      <c r="W72" s="72"/>
      <c r="Z72" s="73"/>
    </row>
    <row r="73" spans="3:26" ht="13.8" thickBot="1" x14ac:dyDescent="0.3">
      <c r="O73" s="72"/>
      <c r="R73" s="73"/>
      <c r="S73" s="226"/>
      <c r="U73" s="224"/>
      <c r="W73" s="72"/>
      <c r="Z73" s="73"/>
    </row>
    <row r="74" spans="3:26" ht="18" thickBot="1" x14ac:dyDescent="0.35">
      <c r="K74" s="3" t="s">
        <v>81</v>
      </c>
      <c r="L74" s="4"/>
      <c r="O74" s="94" t="s">
        <v>101</v>
      </c>
      <c r="P74" s="70"/>
      <c r="Q74" s="70"/>
      <c r="R74" s="71"/>
      <c r="S74" s="226"/>
      <c r="U74" s="224"/>
      <c r="W74" s="72"/>
      <c r="Z74" s="73"/>
    </row>
    <row r="75" spans="3:26" ht="17.399999999999999" customHeight="1" x14ac:dyDescent="0.3">
      <c r="K75" s="5"/>
      <c r="L75" s="6">
        <v>2</v>
      </c>
      <c r="O75" s="97" t="s">
        <v>102</v>
      </c>
      <c r="P75" s="4"/>
      <c r="R75" s="73"/>
      <c r="S75" s="226"/>
      <c r="U75" s="224"/>
      <c r="W75" s="72"/>
      <c r="Z75" s="73"/>
    </row>
    <row r="76" spans="3:26" ht="18" thickBot="1" x14ac:dyDescent="0.35">
      <c r="K76" s="7" t="s">
        <v>84</v>
      </c>
      <c r="L76" s="8"/>
      <c r="O76" s="5"/>
      <c r="P76" s="6">
        <v>12</v>
      </c>
      <c r="R76" s="73"/>
      <c r="S76" s="90"/>
      <c r="U76" s="224"/>
      <c r="W76" s="74"/>
      <c r="X76" s="75"/>
      <c r="Y76" s="75"/>
      <c r="Z76" s="76"/>
    </row>
    <row r="77" spans="3:26" ht="13.8" thickBot="1" x14ac:dyDescent="0.3">
      <c r="K77" s="9" t="s">
        <v>64</v>
      </c>
      <c r="L77" s="10">
        <v>16</v>
      </c>
      <c r="O77" s="7" t="s">
        <v>84</v>
      </c>
      <c r="P77" s="8"/>
      <c r="R77" s="73"/>
      <c r="S77" s="90"/>
      <c r="U77" s="224"/>
      <c r="W77" s="94" t="s">
        <v>96</v>
      </c>
      <c r="X77" s="70"/>
      <c r="Y77" s="70"/>
      <c r="Z77" s="71"/>
    </row>
    <row r="78" spans="3:26" ht="13.2" customHeight="1" x14ac:dyDescent="0.25">
      <c r="K78" s="9" t="s">
        <v>6</v>
      </c>
      <c r="L78" s="11">
        <v>3</v>
      </c>
      <c r="O78" s="9" t="s">
        <v>64</v>
      </c>
      <c r="P78" s="10">
        <v>16</v>
      </c>
      <c r="R78" s="73"/>
      <c r="S78" s="90"/>
      <c r="U78" s="224"/>
      <c r="W78" s="72"/>
      <c r="Z78" s="73"/>
    </row>
    <row r="79" spans="3:26" x14ac:dyDescent="0.25">
      <c r="K79" s="9" t="s">
        <v>4</v>
      </c>
      <c r="L79" s="12">
        <v>0.2</v>
      </c>
      <c r="O79" s="9" t="s">
        <v>6</v>
      </c>
      <c r="P79" s="11">
        <v>0.5</v>
      </c>
      <c r="R79" s="73"/>
      <c r="S79" s="90"/>
      <c r="U79" s="90"/>
      <c r="W79" s="72"/>
      <c r="Z79" s="73"/>
    </row>
    <row r="80" spans="3:26" x14ac:dyDescent="0.25">
      <c r="K80" s="9" t="s">
        <v>68</v>
      </c>
      <c r="L80" s="11">
        <v>14</v>
      </c>
      <c r="O80" s="9" t="s">
        <v>4</v>
      </c>
      <c r="P80" s="12">
        <v>0.1</v>
      </c>
      <c r="R80" s="73"/>
      <c r="S80" s="90"/>
      <c r="U80" s="90"/>
      <c r="W80" s="72"/>
      <c r="Z80" s="73"/>
    </row>
    <row r="81" spans="11:26" x14ac:dyDescent="0.25">
      <c r="K81" s="9" t="s">
        <v>16</v>
      </c>
      <c r="L81" s="96">
        <f>+(650-3)/650</f>
        <v>0.99538461538461542</v>
      </c>
      <c r="O81" s="9" t="s">
        <v>68</v>
      </c>
      <c r="P81" s="11">
        <v>14</v>
      </c>
      <c r="R81" s="73"/>
      <c r="S81" s="90"/>
      <c r="U81" s="90"/>
      <c r="W81" s="72"/>
      <c r="Z81" s="73"/>
    </row>
    <row r="82" spans="11:26" x14ac:dyDescent="0.25">
      <c r="K82" s="9" t="s">
        <v>65</v>
      </c>
      <c r="L82" s="11"/>
      <c r="O82" s="9" t="s">
        <v>16</v>
      </c>
      <c r="P82" s="96">
        <f>+(650-3)/650</f>
        <v>0.99538461538461542</v>
      </c>
      <c r="R82" s="73"/>
      <c r="S82" s="90"/>
      <c r="U82" s="90"/>
      <c r="W82" s="72"/>
      <c r="Z82" s="73"/>
    </row>
    <row r="83" spans="11:26" ht="13.8" thickBot="1" x14ac:dyDescent="0.3">
      <c r="K83" s="13"/>
      <c r="L83" s="14"/>
      <c r="O83" s="9" t="s">
        <v>65</v>
      </c>
      <c r="P83" s="11"/>
      <c r="R83" s="73"/>
      <c r="S83" s="90"/>
      <c r="U83" s="90"/>
      <c r="W83" s="72"/>
      <c r="Z83" s="73"/>
    </row>
    <row r="84" spans="11:26" ht="13.8" thickBot="1" x14ac:dyDescent="0.3">
      <c r="O84" s="13"/>
      <c r="P84" s="14"/>
      <c r="Q84" s="75"/>
      <c r="R84" s="76"/>
      <c r="S84" s="14"/>
      <c r="U84" s="90"/>
      <c r="W84" s="72"/>
      <c r="Z84" s="73"/>
    </row>
    <row r="85" spans="11:26" ht="18" thickBot="1" x14ac:dyDescent="0.35">
      <c r="K85" s="3" t="s">
        <v>82</v>
      </c>
      <c r="L85" s="4"/>
      <c r="U85" s="90"/>
      <c r="W85" s="72"/>
      <c r="Z85" s="73"/>
    </row>
    <row r="86" spans="11:26" ht="17.399999999999999" x14ac:dyDescent="0.3">
      <c r="K86" s="5"/>
      <c r="L86" s="6">
        <v>2</v>
      </c>
      <c r="N86" s="94" t="s">
        <v>91</v>
      </c>
      <c r="O86" s="70"/>
      <c r="P86" s="70"/>
      <c r="Q86" s="70"/>
      <c r="R86" s="71"/>
      <c r="U86" s="90"/>
      <c r="W86" s="72"/>
      <c r="Z86" s="73"/>
    </row>
    <row r="87" spans="11:26" ht="13.8" thickBot="1" x14ac:dyDescent="0.3">
      <c r="K87" s="7" t="s">
        <v>85</v>
      </c>
      <c r="L87" s="8"/>
      <c r="N87" s="72"/>
      <c r="R87" s="73"/>
      <c r="U87" s="90"/>
      <c r="W87" s="72"/>
      <c r="Z87" s="73"/>
    </row>
    <row r="88" spans="11:26" x14ac:dyDescent="0.25">
      <c r="K88" s="9" t="s">
        <v>64</v>
      </c>
      <c r="L88" s="10">
        <v>16</v>
      </c>
      <c r="N88" s="72"/>
      <c r="R88" s="73"/>
      <c r="U88" s="90"/>
      <c r="W88" s="72"/>
      <c r="Z88" s="73"/>
    </row>
    <row r="89" spans="11:26" ht="13.8" thickBot="1" x14ac:dyDescent="0.3">
      <c r="K89" s="9" t="s">
        <v>6</v>
      </c>
      <c r="L89" s="11">
        <v>0.3</v>
      </c>
      <c r="N89" s="72"/>
      <c r="R89" s="73"/>
      <c r="U89" s="90"/>
      <c r="W89" s="74"/>
      <c r="X89" s="75"/>
      <c r="Y89" s="75"/>
      <c r="Z89" s="76"/>
    </row>
    <row r="90" spans="11:26" x14ac:dyDescent="0.25">
      <c r="K90" s="9" t="s">
        <v>4</v>
      </c>
      <c r="L90" s="12">
        <v>0.2</v>
      </c>
      <c r="N90" s="72"/>
      <c r="R90" s="73"/>
      <c r="U90" s="90"/>
      <c r="W90" s="94" t="s">
        <v>97</v>
      </c>
      <c r="X90" s="70"/>
      <c r="Y90" s="70"/>
      <c r="Z90" s="71"/>
    </row>
    <row r="91" spans="11:26" x14ac:dyDescent="0.25">
      <c r="K91" s="9" t="s">
        <v>68</v>
      </c>
      <c r="L91" s="11">
        <v>14</v>
      </c>
      <c r="N91" s="72"/>
      <c r="R91" s="73"/>
      <c r="U91" s="90"/>
      <c r="W91" s="72"/>
      <c r="Z91" s="73"/>
    </row>
    <row r="92" spans="11:26" x14ac:dyDescent="0.25">
      <c r="K92" s="9" t="s">
        <v>16</v>
      </c>
      <c r="L92" s="96">
        <f>+(92-60)/90</f>
        <v>0.35555555555555557</v>
      </c>
      <c r="N92" s="72"/>
      <c r="R92" s="73"/>
      <c r="U92" s="90"/>
      <c r="W92" s="72"/>
      <c r="Z92" s="73"/>
    </row>
    <row r="93" spans="11:26" x14ac:dyDescent="0.25">
      <c r="K93" s="9" t="s">
        <v>65</v>
      </c>
      <c r="L93" s="11"/>
      <c r="N93" s="72"/>
      <c r="R93" s="73"/>
      <c r="U93" s="90"/>
      <c r="W93" s="72"/>
      <c r="Z93" s="73"/>
    </row>
    <row r="94" spans="11:26" ht="13.8" thickBot="1" x14ac:dyDescent="0.3">
      <c r="K94" s="13"/>
      <c r="L94" s="14"/>
      <c r="N94" s="74"/>
      <c r="O94" s="75"/>
      <c r="P94" s="75"/>
      <c r="Q94" s="75"/>
      <c r="R94" s="76"/>
      <c r="U94" s="90"/>
      <c r="W94" s="72"/>
      <c r="Z94" s="73"/>
    </row>
    <row r="95" spans="11:26" x14ac:dyDescent="0.25">
      <c r="K95" s="85"/>
      <c r="U95" s="90"/>
      <c r="W95" s="72"/>
      <c r="Z95" s="73"/>
    </row>
    <row r="96" spans="11:26" x14ac:dyDescent="0.25">
      <c r="K96" s="85"/>
      <c r="U96" s="90"/>
      <c r="W96" s="72"/>
      <c r="Z96" s="73"/>
    </row>
    <row r="97" spans="11:26" ht="13.8" thickBot="1" x14ac:dyDescent="0.3">
      <c r="U97" s="14"/>
      <c r="W97" s="72"/>
      <c r="Z97" s="73"/>
    </row>
    <row r="98" spans="11:26" ht="17.399999999999999" x14ac:dyDescent="0.3">
      <c r="K98" s="3" t="s">
        <v>86</v>
      </c>
      <c r="L98" s="4"/>
      <c r="W98" s="72"/>
      <c r="Z98" s="73"/>
    </row>
    <row r="99" spans="11:26" ht="17.399999999999999" x14ac:dyDescent="0.3">
      <c r="K99" s="5"/>
      <c r="L99" s="6">
        <v>1</v>
      </c>
      <c r="W99" s="72"/>
      <c r="Z99" s="73"/>
    </row>
    <row r="100" spans="11:26" ht="13.8" thickBot="1" x14ac:dyDescent="0.3">
      <c r="K100" s="7" t="s">
        <v>87</v>
      </c>
      <c r="L100" s="8"/>
      <c r="W100" s="72"/>
      <c r="Z100" s="73"/>
    </row>
    <row r="101" spans="11:26" x14ac:dyDescent="0.25">
      <c r="K101" s="9" t="s">
        <v>64</v>
      </c>
      <c r="L101" s="10">
        <v>8</v>
      </c>
      <c r="W101" s="72"/>
      <c r="Z101" s="73"/>
    </row>
    <row r="102" spans="11:26" x14ac:dyDescent="0.25">
      <c r="K102" s="9" t="s">
        <v>6</v>
      </c>
      <c r="L102" s="11">
        <v>1.6</v>
      </c>
      <c r="W102" s="72"/>
      <c r="Z102" s="73"/>
    </row>
    <row r="103" spans="11:26" x14ac:dyDescent="0.25">
      <c r="K103" s="9" t="s">
        <v>4</v>
      </c>
      <c r="L103" s="12">
        <v>0.5</v>
      </c>
      <c r="W103" s="72"/>
      <c r="Z103" s="73"/>
    </row>
    <row r="104" spans="11:26" x14ac:dyDescent="0.25">
      <c r="K104" s="9" t="s">
        <v>68</v>
      </c>
      <c r="L104" s="11">
        <v>6</v>
      </c>
      <c r="W104" s="72"/>
      <c r="Z104" s="73"/>
    </row>
    <row r="105" spans="11:26" ht="13.8" thickBot="1" x14ac:dyDescent="0.3">
      <c r="K105" s="9" t="s">
        <v>16</v>
      </c>
      <c r="L105" s="96">
        <f>+(92-3)/92</f>
        <v>0.96739130434782605</v>
      </c>
      <c r="W105" s="74"/>
      <c r="X105" s="75"/>
      <c r="Y105" s="75"/>
      <c r="Z105" s="76"/>
    </row>
    <row r="106" spans="11:26" x14ac:dyDescent="0.25">
      <c r="K106" s="9" t="s">
        <v>65</v>
      </c>
      <c r="L106" s="11"/>
    </row>
    <row r="107" spans="11:26" ht="13.8" thickBot="1" x14ac:dyDescent="0.3">
      <c r="K107" s="13"/>
      <c r="L107" s="14"/>
    </row>
  </sheetData>
  <mergeCells count="2">
    <mergeCell ref="U63:U78"/>
    <mergeCell ref="S65:S75"/>
  </mergeCells>
  <pageMargins left="0.75" right="0.75" top="1" bottom="1" header="0" footer="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A4169C0779654E843C0083D09C7A42" ma:contentTypeVersion="8" ma:contentTypeDescription="Create a new document." ma:contentTypeScope="" ma:versionID="4ebace8f7f28d1409a50f6ddfa884f73">
  <xsd:schema xmlns:xsd="http://www.w3.org/2001/XMLSchema" xmlns:xs="http://www.w3.org/2001/XMLSchema" xmlns:p="http://schemas.microsoft.com/office/2006/metadata/properties" xmlns:ns2="57ee74f9-d4b2-4a27-8f9d-cefbca54e425" targetNamespace="http://schemas.microsoft.com/office/2006/metadata/properties" ma:root="true" ma:fieldsID="15680101ba5d004ec8372e0b9fa6b9fa" ns2:_="">
    <xsd:import namespace="57ee74f9-d4b2-4a27-8f9d-cefbca54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e74f9-d4b2-4a27-8f9d-cefbca54e4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7FD168-EC90-465F-B43B-E777198F45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e74f9-d4b2-4a27-8f9d-cefbca54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DE66EB-A169-49FE-870F-B405605F4A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DF08A5-1E07-4596-8E2B-393E337E4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Indicaciones</vt:lpstr>
      <vt:lpstr>VSM Actual</vt:lpstr>
      <vt:lpstr>VSM Futuro</vt:lpstr>
      <vt:lpstr>VSM Habilitado Actual</vt:lpstr>
      <vt:lpstr>Planta Metalitec Actual</vt:lpstr>
      <vt:lpstr>VSM template</vt:lpstr>
      <vt:lpstr>Hoja de Datos del proceso</vt:lpstr>
      <vt:lpstr>Familia de Producto</vt:lpstr>
      <vt:lpstr>VSM Columnas Perimetral Actual</vt:lpstr>
    </vt:vector>
  </TitlesOfParts>
  <Company>ITESM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Daniel Michelena</cp:lastModifiedBy>
  <dcterms:created xsi:type="dcterms:W3CDTF">2007-06-11T16:39:41Z</dcterms:created>
  <dcterms:modified xsi:type="dcterms:W3CDTF">2026-01-25T19:07:54Z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0x01010050A4169C0779654E843C0083D09C7A42</vt:lpwstr>
  </property>
</Properties>
</file>