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michelena\Desktop\Software DM\Presentacion Proyecto\"/>
    </mc:Choice>
  </mc:AlternateContent>
  <xr:revisionPtr revIDLastSave="0" documentId="8_{4C39594D-E691-4C19-B40C-FDC74D2C5F20}" xr6:coauthVersionLast="47" xr6:coauthVersionMax="47" xr10:uidLastSave="{00000000-0000-0000-0000-000000000000}"/>
  <bookViews>
    <workbookView xWindow="-108" yWindow="-108" windowWidth="23256" windowHeight="14016" tabRatio="500" xr2:uid="{00000000-000D-0000-FFFF-FFFF00000000}"/>
  </bookViews>
  <sheets>
    <sheet name="0_PASO_A_PASO" sheetId="1" r:id="rId1"/>
    <sheet name="13_PANEL" sheetId="2" r:id="rId2"/>
    <sheet name="1_INSTRUCCIONES" sheetId="3" r:id="rId3"/>
    <sheet name="2_HOJA_TECNICA" sheetId="4" r:id="rId4"/>
    <sheet name="3_FACTORES" sheetId="5" r:id="rId5"/>
    <sheet name="4_CALCULO" sheetId="6" r:id="rId6"/>
    <sheet name="5_RESUMEN" sheetId="7" r:id="rId7"/>
    <sheet name="6_IGNIFUGO" sheetId="8" r:id="rId8"/>
    <sheet name="7_ABRASIVO" sheetId="9" r:id="rId9"/>
    <sheet name="8_GLOSARIO" sheetId="10" r:id="rId10"/>
    <sheet name="9_CONCEPTOS" sheetId="11" r:id="rId11"/>
    <sheet name="10_PIEZAS" sheetId="12" r:id="rId12"/>
    <sheet name="11_APU" sheetId="13" r:id="rId13"/>
    <sheet name="12_ESTIMACION" sheetId="14" r:id="rId14"/>
    <sheet name="14_INTERFAZ_MOTOR" sheetId="15" r:id="rId15"/>
  </sheets>
  <definedNames>
    <definedName name="OUT_ALERTAS_AREA">'14_INTERFAZ_MOTOR'!$C$29</definedName>
    <definedName name="OUT_AREA_M2">'14_INTERFAZ_MOTOR'!$C$17</definedName>
    <definedName name="OUT_COSTO_ABRASIVO">'14_INTERFAZ_MOTOR'!$C$25</definedName>
    <definedName name="OUT_COSTO_APLICACION">'14_INTERFAZ_MOTOR'!$C$26</definedName>
    <definedName name="OUT_COSTO_KG">'14_INTERFAZ_MOTOR'!$C$28</definedName>
    <definedName name="OUT_COSTO_M2">'14_INTERFAZ_MOTOR'!$C$27</definedName>
    <definedName name="OUT_COSTO_PINTURA">'14_INTERFAZ_MOTOR'!$C$23</definedName>
    <definedName name="OUT_CUNETES">'14_INTERFAZ_MOTOR'!$C$22</definedName>
    <definedName name="OUT_KG_ABRASIVO">'14_INTERFAZ_MOTOR'!$C$24</definedName>
    <definedName name="OUT_LITROS_DESPERDICIO">'14_INTERFAZ_MOTOR'!$C$21</definedName>
    <definedName name="OUT_LITROS_PRACTICOS">'14_INTERFAZ_MOTOR'!$C$20</definedName>
    <definedName name="OUT_LITROS_TEORICOS">'14_INTERFAZ_MOTOR'!$C$19</definedName>
    <definedName name="OUT_PESO_KG">'14_INTERFAZ_MOTOR'!$C$18</definedName>
    <definedName name="OUT_PU_CELOSIA">'14_INTERFAZ_MOTOR'!$C$35</definedName>
    <definedName name="OUT_PU_COLUMNA">'14_INTERFAZ_MOTOR'!$C$33</definedName>
    <definedName name="OUT_PU_CONTRAVENTEO">'14_INTERFAZ_MOTOR'!$C$36</definedName>
    <definedName name="OUT_PU_MISCELANEO">'14_INTERFAZ_MOTOR'!$C$37</definedName>
    <definedName name="OUT_PU_PLACA">'14_INTERFAZ_MOTOR'!$C$38</definedName>
    <definedName name="OUT_PU_VIGA">'14_INTERFAZ_MOTOR'!$C$34</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38" i="15" l="1"/>
  <c r="D37" i="15"/>
  <c r="D36" i="15"/>
  <c r="D35" i="15"/>
  <c r="D34" i="15"/>
  <c r="D33" i="15"/>
  <c r="E13" i="14"/>
  <c r="H12" i="14"/>
  <c r="E12" i="14"/>
  <c r="H11" i="14"/>
  <c r="E11" i="14"/>
  <c r="E10" i="14"/>
  <c r="E9" i="14"/>
  <c r="E8" i="14"/>
  <c r="C8" i="14"/>
  <c r="K12" i="13"/>
  <c r="M12" i="13" s="1"/>
  <c r="O12" i="13" s="1"/>
  <c r="M11" i="13"/>
  <c r="O11" i="13" s="1"/>
  <c r="K11" i="13"/>
  <c r="F11" i="13"/>
  <c r="E11" i="13"/>
  <c r="D11" i="13"/>
  <c r="M10" i="13"/>
  <c r="O10" i="13" s="1"/>
  <c r="J11" i="12" s="1"/>
  <c r="K11" i="12" s="1"/>
  <c r="K10" i="13"/>
  <c r="D10" i="13"/>
  <c r="Q9" i="13"/>
  <c r="C35" i="15" s="1"/>
  <c r="O9" i="13"/>
  <c r="M9" i="13"/>
  <c r="K9" i="13"/>
  <c r="M8" i="13"/>
  <c r="O8" i="13" s="1"/>
  <c r="K8" i="13"/>
  <c r="M7" i="13"/>
  <c r="O7" i="13" s="1"/>
  <c r="K7" i="13"/>
  <c r="K35" i="12"/>
  <c r="J35" i="12"/>
  <c r="I35" i="12"/>
  <c r="L35" i="12" s="1"/>
  <c r="H35" i="12"/>
  <c r="L34" i="12"/>
  <c r="K34" i="12"/>
  <c r="J34" i="12"/>
  <c r="I34" i="12"/>
  <c r="H34" i="12"/>
  <c r="K33" i="12"/>
  <c r="J33" i="12"/>
  <c r="I33" i="12"/>
  <c r="L33" i="12" s="1"/>
  <c r="H33" i="12"/>
  <c r="L32" i="12"/>
  <c r="K32" i="12"/>
  <c r="J32" i="12"/>
  <c r="I32" i="12"/>
  <c r="H32" i="12"/>
  <c r="L31" i="12"/>
  <c r="K31" i="12"/>
  <c r="J31" i="12"/>
  <c r="I31" i="12"/>
  <c r="H31" i="12"/>
  <c r="L30" i="12"/>
  <c r="K30" i="12"/>
  <c r="J30" i="12"/>
  <c r="I30" i="12"/>
  <c r="H30" i="12"/>
  <c r="L29" i="12"/>
  <c r="K29" i="12"/>
  <c r="J29" i="12"/>
  <c r="I29" i="12"/>
  <c r="H29" i="12"/>
  <c r="K28" i="12"/>
  <c r="J28" i="12"/>
  <c r="I28" i="12"/>
  <c r="L28" i="12" s="1"/>
  <c r="H28" i="12"/>
  <c r="K27" i="12"/>
  <c r="J27" i="12"/>
  <c r="I27" i="12"/>
  <c r="L27" i="12" s="1"/>
  <c r="H27" i="12"/>
  <c r="L26" i="12"/>
  <c r="K26" i="12"/>
  <c r="J26" i="12"/>
  <c r="I26" i="12"/>
  <c r="H26" i="12"/>
  <c r="K25" i="12"/>
  <c r="J25" i="12"/>
  <c r="I25" i="12"/>
  <c r="L25" i="12" s="1"/>
  <c r="H25" i="12"/>
  <c r="L24" i="12"/>
  <c r="K24" i="12"/>
  <c r="J24" i="12"/>
  <c r="I24" i="12"/>
  <c r="H24" i="12"/>
  <c r="K23" i="12"/>
  <c r="J23" i="12"/>
  <c r="I23" i="12"/>
  <c r="L23" i="12" s="1"/>
  <c r="H23" i="12"/>
  <c r="L22" i="12"/>
  <c r="K22" i="12"/>
  <c r="J22" i="12"/>
  <c r="I22" i="12"/>
  <c r="H22" i="12"/>
  <c r="K21" i="12"/>
  <c r="J21" i="12"/>
  <c r="I21" i="12"/>
  <c r="L21" i="12" s="1"/>
  <c r="H21" i="12"/>
  <c r="L20" i="12"/>
  <c r="K20" i="12"/>
  <c r="J20" i="12"/>
  <c r="I20" i="12"/>
  <c r="H20" i="12"/>
  <c r="L19" i="12"/>
  <c r="K19" i="12"/>
  <c r="J19" i="12"/>
  <c r="I19" i="12"/>
  <c r="H19" i="12"/>
  <c r="L18" i="12"/>
  <c r="K18" i="12"/>
  <c r="J18" i="12"/>
  <c r="I18" i="12"/>
  <c r="H18" i="12"/>
  <c r="L17" i="12"/>
  <c r="K17" i="12"/>
  <c r="J17" i="12"/>
  <c r="I17" i="12"/>
  <c r="H17" i="12"/>
  <c r="K16" i="12"/>
  <c r="J16" i="12"/>
  <c r="I16" i="12"/>
  <c r="L16" i="12" s="1"/>
  <c r="H16" i="12"/>
  <c r="K15" i="12"/>
  <c r="J15" i="12"/>
  <c r="I15" i="12"/>
  <c r="L15" i="12" s="1"/>
  <c r="H15" i="12"/>
  <c r="L14" i="12"/>
  <c r="K14" i="12"/>
  <c r="J14" i="12"/>
  <c r="I14" i="12"/>
  <c r="H14" i="12"/>
  <c r="I13" i="12"/>
  <c r="C13" i="14" s="1"/>
  <c r="G13" i="14" s="1"/>
  <c r="H13" i="12"/>
  <c r="D12" i="13" s="1"/>
  <c r="I12" i="12"/>
  <c r="C12" i="14" s="1"/>
  <c r="G12" i="14" s="1"/>
  <c r="H12" i="12"/>
  <c r="I11" i="12"/>
  <c r="C11" i="14" s="1"/>
  <c r="G11" i="14" s="1"/>
  <c r="H11" i="12"/>
  <c r="J10" i="12"/>
  <c r="K10" i="12" s="1"/>
  <c r="L10" i="12" s="1"/>
  <c r="I10" i="12"/>
  <c r="E9" i="13" s="1"/>
  <c r="H10" i="12"/>
  <c r="H10" i="14" s="1"/>
  <c r="I9" i="12"/>
  <c r="H9" i="12"/>
  <c r="I8" i="12"/>
  <c r="E8" i="13" s="1"/>
  <c r="H8" i="12"/>
  <c r="H9" i="14" s="1"/>
  <c r="I7" i="12"/>
  <c r="H7" i="12"/>
  <c r="I6" i="12"/>
  <c r="I36" i="12" s="1"/>
  <c r="H6" i="12"/>
  <c r="D7" i="13" s="1"/>
  <c r="N28" i="9"/>
  <c r="M28" i="9"/>
  <c r="L28" i="9"/>
  <c r="K28" i="9"/>
  <c r="J28" i="9"/>
  <c r="I28" i="9"/>
  <c r="H28" i="9"/>
  <c r="G28" i="9"/>
  <c r="N27" i="9"/>
  <c r="M27" i="9"/>
  <c r="L27" i="9"/>
  <c r="K27" i="9"/>
  <c r="J27" i="9"/>
  <c r="I27" i="9"/>
  <c r="H27" i="9"/>
  <c r="G27" i="9"/>
  <c r="N26" i="9"/>
  <c r="M26" i="9"/>
  <c r="L26" i="9"/>
  <c r="K26" i="9"/>
  <c r="J26" i="9"/>
  <c r="I26" i="9"/>
  <c r="H26" i="9"/>
  <c r="G26" i="9"/>
  <c r="N25" i="9"/>
  <c r="M25" i="9"/>
  <c r="L25" i="9"/>
  <c r="K25" i="9"/>
  <c r="J25" i="9"/>
  <c r="I25" i="9"/>
  <c r="H25" i="9"/>
  <c r="G25" i="9"/>
  <c r="N24" i="9"/>
  <c r="M24" i="9"/>
  <c r="L24" i="9"/>
  <c r="K24" i="9"/>
  <c r="J24" i="9"/>
  <c r="I24" i="9"/>
  <c r="H24" i="9"/>
  <c r="G24" i="9"/>
  <c r="N23" i="9"/>
  <c r="M23" i="9"/>
  <c r="L23" i="9"/>
  <c r="K23" i="9"/>
  <c r="J23" i="9"/>
  <c r="I23" i="9"/>
  <c r="H23" i="9"/>
  <c r="G23" i="9"/>
  <c r="N22" i="9"/>
  <c r="M22" i="9"/>
  <c r="L22" i="9"/>
  <c r="K22" i="9"/>
  <c r="J22" i="9"/>
  <c r="I22" i="9"/>
  <c r="H22" i="9"/>
  <c r="G22" i="9"/>
  <c r="N21" i="9"/>
  <c r="M21" i="9"/>
  <c r="L21" i="9"/>
  <c r="K21" i="9"/>
  <c r="J21" i="9"/>
  <c r="I21" i="9"/>
  <c r="H21" i="9"/>
  <c r="G21" i="9"/>
  <c r="N20" i="9"/>
  <c r="M20" i="9"/>
  <c r="L20" i="9"/>
  <c r="K20" i="9"/>
  <c r="J20" i="9"/>
  <c r="I20" i="9"/>
  <c r="H20" i="9"/>
  <c r="G20" i="9"/>
  <c r="N19" i="9"/>
  <c r="M19" i="9"/>
  <c r="L19" i="9"/>
  <c r="K19" i="9"/>
  <c r="J19" i="9"/>
  <c r="I19" i="9"/>
  <c r="H19" i="9"/>
  <c r="G19" i="9"/>
  <c r="N18" i="9"/>
  <c r="M18" i="9"/>
  <c r="L18" i="9"/>
  <c r="K18" i="9"/>
  <c r="J18" i="9"/>
  <c r="I18" i="9"/>
  <c r="H18" i="9"/>
  <c r="G18" i="9"/>
  <c r="N17" i="9"/>
  <c r="M17" i="9"/>
  <c r="L17" i="9"/>
  <c r="K17" i="9"/>
  <c r="J17" i="9"/>
  <c r="I17" i="9"/>
  <c r="H17" i="9"/>
  <c r="G17" i="9"/>
  <c r="K16" i="9"/>
  <c r="I16" i="9"/>
  <c r="G16" i="9"/>
  <c r="H16" i="9" s="1"/>
  <c r="J16" i="9" s="1"/>
  <c r="L16" i="9" s="1"/>
  <c r="K15" i="9"/>
  <c r="I15" i="9"/>
  <c r="G15" i="9"/>
  <c r="H15" i="9" s="1"/>
  <c r="J15" i="9" s="1"/>
  <c r="L15" i="9" s="1"/>
  <c r="K14" i="9"/>
  <c r="I14" i="9"/>
  <c r="H14" i="9"/>
  <c r="J14" i="9" s="1"/>
  <c r="G14" i="9"/>
  <c r="C34" i="8"/>
  <c r="C33" i="8"/>
  <c r="C16" i="8"/>
  <c r="E13" i="7"/>
  <c r="C13" i="7"/>
  <c r="B13" i="7"/>
  <c r="B12" i="7"/>
  <c r="F11" i="7"/>
  <c r="E11" i="7"/>
  <c r="I11" i="7" s="1"/>
  <c r="C11" i="7"/>
  <c r="B11" i="7"/>
  <c r="H11" i="7" s="1"/>
  <c r="B10" i="7"/>
  <c r="H9" i="7"/>
  <c r="C9" i="7"/>
  <c r="B9" i="7"/>
  <c r="H8" i="7"/>
  <c r="B8" i="7"/>
  <c r="H7" i="7"/>
  <c r="B7" i="7"/>
  <c r="D7" i="7" s="1"/>
  <c r="H6" i="7"/>
  <c r="C6" i="7"/>
  <c r="B6" i="7"/>
  <c r="S25" i="6"/>
  <c r="R25" i="6"/>
  <c r="Q25" i="6"/>
  <c r="P25" i="6"/>
  <c r="O25" i="6"/>
  <c r="N25" i="6"/>
  <c r="M25" i="6"/>
  <c r="L25" i="6"/>
  <c r="S24" i="6"/>
  <c r="R24" i="6"/>
  <c r="Q24" i="6"/>
  <c r="P24" i="6"/>
  <c r="O24" i="6"/>
  <c r="N24" i="6"/>
  <c r="M24" i="6"/>
  <c r="L24" i="6"/>
  <c r="S23" i="6"/>
  <c r="R23" i="6"/>
  <c r="Q23" i="6"/>
  <c r="P23" i="6"/>
  <c r="O23" i="6"/>
  <c r="N23" i="6"/>
  <c r="M23" i="6"/>
  <c r="L23" i="6"/>
  <c r="S22" i="6"/>
  <c r="R22" i="6"/>
  <c r="Q22" i="6"/>
  <c r="P22" i="6"/>
  <c r="O22" i="6"/>
  <c r="N22" i="6"/>
  <c r="M22" i="6"/>
  <c r="L22" i="6"/>
  <c r="S21" i="6"/>
  <c r="R21" i="6"/>
  <c r="Q21" i="6"/>
  <c r="P21" i="6"/>
  <c r="O21" i="6"/>
  <c r="N21" i="6"/>
  <c r="M21" i="6"/>
  <c r="L21" i="6"/>
  <c r="S20" i="6"/>
  <c r="R20" i="6"/>
  <c r="Q20" i="6"/>
  <c r="P20" i="6"/>
  <c r="O20" i="6"/>
  <c r="N20" i="6"/>
  <c r="M20" i="6"/>
  <c r="L20" i="6"/>
  <c r="S19" i="6"/>
  <c r="R19" i="6"/>
  <c r="Q19" i="6"/>
  <c r="P19" i="6"/>
  <c r="O19" i="6"/>
  <c r="N19" i="6"/>
  <c r="M19" i="6"/>
  <c r="L19" i="6"/>
  <c r="S18" i="6"/>
  <c r="R18" i="6"/>
  <c r="Q18" i="6"/>
  <c r="P18" i="6"/>
  <c r="O18" i="6"/>
  <c r="N18" i="6"/>
  <c r="M18" i="6"/>
  <c r="L18" i="6"/>
  <c r="S17" i="6"/>
  <c r="R17" i="6"/>
  <c r="Q17" i="6"/>
  <c r="P17" i="6"/>
  <c r="O17" i="6"/>
  <c r="N17" i="6"/>
  <c r="M17" i="6"/>
  <c r="L17" i="6"/>
  <c r="S16" i="6"/>
  <c r="R16" i="6"/>
  <c r="Q16" i="6"/>
  <c r="P16" i="6"/>
  <c r="O16" i="6"/>
  <c r="N16" i="6"/>
  <c r="M16" i="6"/>
  <c r="L16" i="6"/>
  <c r="S15" i="6"/>
  <c r="R15" i="6"/>
  <c r="Q15" i="6"/>
  <c r="P15" i="6"/>
  <c r="O15" i="6"/>
  <c r="N15" i="6"/>
  <c r="M15" i="6"/>
  <c r="L15" i="6"/>
  <c r="S14" i="6"/>
  <c r="R14" i="6"/>
  <c r="Q14" i="6"/>
  <c r="P14" i="6"/>
  <c r="O14" i="6"/>
  <c r="N14" i="6"/>
  <c r="M14" i="6"/>
  <c r="L14" i="6"/>
  <c r="R13" i="6"/>
  <c r="O13" i="6"/>
  <c r="N13" i="6"/>
  <c r="P13" i="6" s="1"/>
  <c r="M13" i="6"/>
  <c r="L13" i="6"/>
  <c r="R12" i="6"/>
  <c r="O12" i="6"/>
  <c r="M12" i="6"/>
  <c r="N12" i="6" s="1"/>
  <c r="L12" i="6"/>
  <c r="R11" i="6"/>
  <c r="O11" i="6"/>
  <c r="M11" i="6"/>
  <c r="N11" i="6" s="1"/>
  <c r="P11" i="6" s="1"/>
  <c r="L11" i="6"/>
  <c r="R10" i="6"/>
  <c r="O10" i="6"/>
  <c r="N10" i="6"/>
  <c r="P10" i="6" s="1"/>
  <c r="M10" i="6"/>
  <c r="L10" i="6"/>
  <c r="R9" i="6"/>
  <c r="O9" i="6"/>
  <c r="M9" i="6"/>
  <c r="N9" i="6" s="1"/>
  <c r="P9" i="6" s="1"/>
  <c r="L9" i="6"/>
  <c r="R8" i="6"/>
  <c r="O8" i="6"/>
  <c r="M8" i="6"/>
  <c r="N8" i="6" s="1"/>
  <c r="P8" i="6" s="1"/>
  <c r="L8" i="6"/>
  <c r="R7" i="6"/>
  <c r="O7" i="6"/>
  <c r="N7" i="6"/>
  <c r="P7" i="6" s="1"/>
  <c r="M7" i="6"/>
  <c r="L7" i="6"/>
  <c r="R6" i="6"/>
  <c r="O6" i="6"/>
  <c r="M6" i="6"/>
  <c r="N6" i="6" s="1"/>
  <c r="L6" i="6"/>
  <c r="M13" i="4"/>
  <c r="N13" i="4" s="1"/>
  <c r="N12" i="4"/>
  <c r="M12" i="4"/>
  <c r="M11" i="4"/>
  <c r="N11" i="4" s="1"/>
  <c r="N10" i="4"/>
  <c r="M10" i="4"/>
  <c r="N9" i="4"/>
  <c r="M9" i="4"/>
  <c r="N8" i="4"/>
  <c r="M8" i="4"/>
  <c r="M7" i="4"/>
  <c r="N7" i="4" s="1"/>
  <c r="N6" i="4"/>
  <c r="M6" i="4"/>
  <c r="C14" i="2"/>
  <c r="C13" i="2"/>
  <c r="C12" i="2"/>
  <c r="C10" i="2"/>
  <c r="C9" i="2"/>
  <c r="C8" i="2"/>
  <c r="C7" i="2"/>
  <c r="S9" i="6" l="1"/>
  <c r="Q9" i="6"/>
  <c r="N15" i="9"/>
  <c r="M15" i="9"/>
  <c r="D6" i="7"/>
  <c r="N26" i="6"/>
  <c r="P6" i="6"/>
  <c r="N16" i="9"/>
  <c r="M16" i="9"/>
  <c r="D9" i="7"/>
  <c r="P12" i="6"/>
  <c r="E7" i="7"/>
  <c r="S7" i="6"/>
  <c r="Q7" i="6"/>
  <c r="F7" i="7" s="1"/>
  <c r="E9" i="7"/>
  <c r="Q7" i="13"/>
  <c r="C33" i="15" s="1"/>
  <c r="J7" i="12"/>
  <c r="K7" i="12" s="1"/>
  <c r="L7" i="12" s="1"/>
  <c r="J6" i="12"/>
  <c r="K6" i="12" s="1"/>
  <c r="J11" i="14"/>
  <c r="K11" i="14" s="1"/>
  <c r="I11" i="14"/>
  <c r="C21" i="2"/>
  <c r="C18" i="15"/>
  <c r="J8" i="12"/>
  <c r="K8" i="12" s="1"/>
  <c r="L8" i="12" s="1"/>
  <c r="J9" i="12"/>
  <c r="K9" i="12" s="1"/>
  <c r="L9" i="12" s="1"/>
  <c r="Q8" i="13"/>
  <c r="C34" i="15" s="1"/>
  <c r="J12" i="12"/>
  <c r="K12" i="12" s="1"/>
  <c r="L12" i="12" s="1"/>
  <c r="P11" i="13"/>
  <c r="Q11" i="13" s="1"/>
  <c r="C37" i="15" s="1"/>
  <c r="S10" i="6"/>
  <c r="Q10" i="6"/>
  <c r="S13" i="6"/>
  <c r="Q13" i="6"/>
  <c r="J12" i="14"/>
  <c r="K12" i="14" s="1"/>
  <c r="I12" i="14"/>
  <c r="Q12" i="13"/>
  <c r="C38" i="15" s="1"/>
  <c r="J13" i="12"/>
  <c r="K13" i="12" s="1"/>
  <c r="L13" i="12" s="1"/>
  <c r="Q11" i="6"/>
  <c r="S11" i="6"/>
  <c r="Q8" i="6"/>
  <c r="F8" i="7" s="1"/>
  <c r="S8" i="6"/>
  <c r="J29" i="9"/>
  <c r="L14" i="9"/>
  <c r="L11" i="7"/>
  <c r="K11" i="7"/>
  <c r="J11" i="7"/>
  <c r="C12" i="7"/>
  <c r="D13" i="7"/>
  <c r="E7" i="13"/>
  <c r="F7" i="13" s="1"/>
  <c r="P7" i="13" s="1"/>
  <c r="E10" i="13"/>
  <c r="F10" i="13" s="1"/>
  <c r="P10" i="13" s="1"/>
  <c r="Q10" i="13" s="1"/>
  <c r="C36" i="15" s="1"/>
  <c r="D12" i="7"/>
  <c r="C10" i="14"/>
  <c r="G10" i="14" s="1"/>
  <c r="H13" i="14"/>
  <c r="J13" i="14" s="1"/>
  <c r="K13" i="14" s="1"/>
  <c r="C10" i="7"/>
  <c r="D11" i="7"/>
  <c r="E12" i="7"/>
  <c r="G12" i="7" s="1"/>
  <c r="F13" i="7"/>
  <c r="H8" i="14"/>
  <c r="D10" i="7"/>
  <c r="F12" i="7"/>
  <c r="G13" i="7"/>
  <c r="D9" i="13"/>
  <c r="F9" i="13" s="1"/>
  <c r="P9" i="13" s="1"/>
  <c r="G8" i="14"/>
  <c r="H13" i="7"/>
  <c r="L11" i="12"/>
  <c r="E12" i="13"/>
  <c r="F12" i="13" s="1"/>
  <c r="P12" i="13" s="1"/>
  <c r="C8" i="7"/>
  <c r="E10" i="7"/>
  <c r="I10" i="7" s="1"/>
  <c r="K10" i="7" s="1"/>
  <c r="C7" i="7"/>
  <c r="D8" i="7"/>
  <c r="F10" i="7"/>
  <c r="G11" i="7"/>
  <c r="H12" i="7"/>
  <c r="I13" i="7"/>
  <c r="L13" i="7" s="1"/>
  <c r="H36" i="12"/>
  <c r="E8" i="7"/>
  <c r="G10" i="7"/>
  <c r="I12" i="7"/>
  <c r="J12" i="7" s="1"/>
  <c r="C9" i="14"/>
  <c r="G9" i="14" s="1"/>
  <c r="H10" i="7"/>
  <c r="H29" i="9"/>
  <c r="D8" i="13"/>
  <c r="F8" i="13" s="1"/>
  <c r="P8" i="13" s="1"/>
  <c r="K36" i="12" l="1"/>
  <c r="L6" i="12"/>
  <c r="E6" i="7"/>
  <c r="S6" i="6"/>
  <c r="Q6" i="6"/>
  <c r="P26" i="6"/>
  <c r="I8" i="7"/>
  <c r="G8" i="7"/>
  <c r="C17" i="15"/>
  <c r="H5" i="13"/>
  <c r="C27" i="15"/>
  <c r="C20" i="2"/>
  <c r="C31" i="2"/>
  <c r="C14" i="14"/>
  <c r="C22" i="2"/>
  <c r="C19" i="15"/>
  <c r="G14" i="14"/>
  <c r="J8" i="14"/>
  <c r="K8" i="14" s="1"/>
  <c r="I8" i="14"/>
  <c r="I9" i="7"/>
  <c r="D14" i="7"/>
  <c r="K13" i="7"/>
  <c r="J10" i="14"/>
  <c r="K10" i="14" s="1"/>
  <c r="I10" i="14"/>
  <c r="N14" i="9"/>
  <c r="N29" i="9" s="1"/>
  <c r="M14" i="9"/>
  <c r="M29" i="9" s="1"/>
  <c r="S12" i="6"/>
  <c r="Q12" i="6"/>
  <c r="F9" i="7" s="1"/>
  <c r="G9" i="7" s="1"/>
  <c r="K12" i="7"/>
  <c r="H14" i="14"/>
  <c r="L12" i="7"/>
  <c r="J9" i="14"/>
  <c r="K9" i="14" s="1"/>
  <c r="I9" i="14"/>
  <c r="J10" i="7"/>
  <c r="L10" i="7"/>
  <c r="I13" i="14"/>
  <c r="G7" i="7"/>
  <c r="I7" i="7"/>
  <c r="J13" i="7"/>
  <c r="C23" i="2" l="1"/>
  <c r="C20" i="15"/>
  <c r="C29" i="15"/>
  <c r="C11" i="2"/>
  <c r="F6" i="7"/>
  <c r="F14" i="7" s="1"/>
  <c r="Q26" i="6"/>
  <c r="I14" i="14"/>
  <c r="J14" i="14"/>
  <c r="K14" i="14" s="1"/>
  <c r="E14" i="7"/>
  <c r="G6" i="7"/>
  <c r="I6" i="7"/>
  <c r="C25" i="15"/>
  <c r="C29" i="2"/>
  <c r="J9" i="7"/>
  <c r="K9" i="7"/>
  <c r="L9" i="7"/>
  <c r="L8" i="7"/>
  <c r="J8" i="7"/>
  <c r="K8" i="7" s="1"/>
  <c r="L7" i="7"/>
  <c r="J7" i="7"/>
  <c r="K7" i="7" s="1"/>
  <c r="C24" i="15"/>
  <c r="C28" i="2"/>
  <c r="C26" i="15"/>
  <c r="C30" i="2"/>
  <c r="L36" i="12"/>
  <c r="J6" i="7" l="1"/>
  <c r="J14" i="7" s="1"/>
  <c r="L6" i="7"/>
  <c r="L14" i="7" s="1"/>
  <c r="K6" i="7"/>
  <c r="K14" i="7" s="1"/>
  <c r="I14" i="7"/>
  <c r="C24" i="2"/>
  <c r="C21" i="15"/>
  <c r="C28" i="15"/>
  <c r="C32" i="2"/>
  <c r="C25" i="2"/>
  <c r="C23" i="15" l="1"/>
  <c r="C27" i="2"/>
  <c r="F5" i="13"/>
  <c r="C22" i="15"/>
  <c r="C26" i="2"/>
</calcChain>
</file>

<file path=xl/sharedStrings.xml><?xml version="1.0" encoding="utf-8"?>
<sst xmlns="http://schemas.openxmlformats.org/spreadsheetml/2006/main" count="850" uniqueCount="710">
  <si>
    <t>INSTRUCTIVO PASO A PASO — ESTIMACIÓN DE APLICACIÓN DE PINTURA</t>
  </si>
  <si>
    <t>Siga los pasos en orden. Tiempo estimado la primera vez: 2–3 horas con el modelo en mano; 30–45 min en proyectos siguientes (los factores ya quedan calibrados). Regla general del archivo: solo se capturan celdas AZULES; las negras y verdes se calculan solas. Celdas con fondo AMARILLO = supuestos que exigen calibración antes de usar en una oferta.</t>
  </si>
  <si>
    <t>FASE 0 — ANTES DE ABRIR EL ARCHIVO: REÚNA LA INFORMACIÓN</t>
  </si>
  <si>
    <t>0.1</t>
  </si>
  <si>
    <t>Documentos del proyecto</t>
  </si>
  <si>
    <t>Tenga a la mano: (a) la especificación de pintura del proyecto (sistema de capas, EPS por capa, grado de limpieza SP y perfil de anclaje requerido, categoría de corrosividad C1–C5 y, si aplica, el rating ignífugo R30/R60/R90/R120); (b) las hojas técnicas (TDS) de cada producto del sistema propuesto; (c) el reporte de piezas del modelo Tekla/IFC con áreas y pesos, o —si aún no hay modelo— el tonelaje estimado por familia; (d) cotizaciones vigentes de pintura (por cuñete) y abrasivo (por saco o súper saco).</t>
  </si>
  <si>
    <t>0.2</t>
  </si>
  <si>
    <t>Verifique compatibilidad del sistema</t>
  </si>
  <si>
    <t>Confirme en los TDS que las capas son compatibles entre sí (el fabricante lo indica) y que el primario está aprobado para el perfil de anclaje especificado. Si hay intumescente, pida al fabricante la CARTA DE ESPESORES CERTIFICADA (por Hp/A y rating) — sin ella no se puede presupuestar en serio. Este es un punto de decisión suya, no del archivo.</t>
  </si>
  <si>
    <t>0.3</t>
  </si>
  <si>
    <t>Defina el alcance de aplicación</t>
  </si>
  <si>
    <t>Aclare con el cliente qué se pinta en taller y qué en obra, si el retoque de montaje está en su alcance, y qué superficies quedan explícitamente SIN pintura (slip-critical, embebidos, zonas de soldadura de campo). Esto cambia áreas, ambientes de aplicación y responsabilidades.</t>
  </si>
  <si>
    <t>FASE 1 — CAPTURE LOS PRODUCTOS (HOJA 2_HOJA_TECNICA)</t>
  </si>
  <si>
    <t>1.1</t>
  </si>
  <si>
    <t>Un renglón por producto</t>
  </si>
  <si>
    <t>Capture cada producto del sistema (primario, intermedio, acabado, intumescente, sellador si aplica) en un renglón: nombre comercial, fabricante, tipo genérico, % sólidos por volumen (del TDS, "sin diluir"), EPS mínimo/recomendado/máximo, litros por cuñete, si es intumescente (SI/NO) y precio por cuñete de la cotización vigente.</t>
  </si>
  <si>
    <t>1.2</t>
  </si>
  <si>
    <t>Cuidado con el % de sólidos</t>
  </si>
  <si>
    <t>El TDS a veces da dos valores: sólidos por VOLUMEN y sólidos por PESO. El que usa este modelo es POR VOLUMEN. Si el TDS solo da por peso, pida el dato al proveedor. Capturarlo mal distorsiona todo el rendimiento.</t>
  </si>
  <si>
    <t>1.3</t>
  </si>
  <si>
    <t>Verifique el rendimiento calculado</t>
  </si>
  <si>
    <t>La columna "Rend. teórico" debe parecerse al rendimiento teórico que declara el propio TDS al mismo espesor. Si difiere más de ±5%, hay un error de captura (espesor en mils en lugar de micras es el clásico).</t>
  </si>
  <si>
    <t>FASE 2 — CALIBRE LOS FACTORES DE DESPERDICIO (HOJA 3_FACTORES)</t>
  </si>
  <si>
    <t>2.1</t>
  </si>
  <si>
    <t>Primera vez: revise, no acepte</t>
  </si>
  <si>
    <t>Las tablas A (forma), B (ambiente/método), C (perfil de anclaje) y D (entre capas, equipo, intumescente, franjeo) traen valores típicos de la industria. NO son de METALITEC: son el punto de partida. Léalas con su supervisor de pintura y ajuste lo que su experiencia contradiga.</t>
  </si>
  <si>
    <t>2.2</t>
  </si>
  <si>
    <t>Calibración con datos reales</t>
  </si>
  <si>
    <t>La calibración seria se hace así: tome 3–5 órdenes de trabajo cerradas, con litros realmente consumidos (vales de almacén) y m² realmente pintados por tipo de pieza. Calcule el consumo real por m², compárelo contra el teórico del TDS y despeje el % de pérdida real. Ajuste las tablas hasta que el modelo reproduzca esos consumos históricos con ±5% de error. Documente la fecha de calibración en un comentario de celda.</t>
  </si>
  <si>
    <t>2.3</t>
  </si>
  <si>
    <t>Perfil de anclaje</t>
  </si>
  <si>
    <t>En la Tabla C verifique que el rango de perfil corresponda a lo que su granalladora realmente produce (mídalo con cinta réplica Testex en 2–3 piezas). Si su mezcla operativa da 65 µm y el proyecto pide 50–75, use R2/R3 según el caso.</t>
  </si>
  <si>
    <t>FASE 3 — DETERMINE EL ÁREA A PINTAR (HOJAS 12_ESTIMACION Y 10_PIEZAS)</t>
  </si>
  <si>
    <t>3.1</t>
  </si>
  <si>
    <t>¿Tiene modelo o solo tonelaje?</t>
  </si>
  <si>
    <t>CAMINO A (sin modelo, cotización temprana): vaya a 12_ESTIMACION, capture el espesor promedio por familia (mm) y el % de área no pintable; con el tonelaje obtiene los m² estimados pintables. Use esos m² para las fases 4–6. CAMINO B (con modelo Tekla/IFC): llene 10_PIEZAS con el reporte de piezas — marca, familia, cantidad, área y peso unitarios — y use las áreas reales. Puede subir el archivo de exportación a Claude para que llene la tabla.</t>
  </si>
  <si>
    <t>3.2</t>
  </si>
  <si>
    <t>Pida el reporte correcto</t>
  </si>
  <si>
    <t>Al área del modelo pídale SOLO área pintable: sin interior de HSS, sin caras de contacto con concreto, sin superficies slip-critical. Si el reporte trae área total (lo usual en Tekla), descuéntelo con el % no pintable de 12_ESTIMACION, columna F.</t>
  </si>
  <si>
    <t>3.3</t>
  </si>
  <si>
    <t>Valide con el semáforo</t>
  </si>
  <si>
    <t>Con ambos caminos disponibles, 12_ESTIMACION compara estimado vs. real por familia. Si una familia marca ⚠ REEVALUAR (diferencia &gt; tolerancia, default ±15%), NO avance: revise en este orden (a) el espesor promedio supuesto contra los perfiles reales de esa familia, (b) si el reporte del modelo incluye superficies no pintables, (c) piezas duplicadas o faltantes en 10_PIEZAS. Avanzar con áreas malas invalida todo lo que sigue.</t>
  </si>
  <si>
    <t>FASE 4 — CALCULE CONSUMO Y DESPERDICIO DE PINTURA (HOJA 4_CALCULO)</t>
  </si>
  <si>
    <t>4.1</t>
  </si>
  <si>
    <t>Arme las partidas</t>
  </si>
  <si>
    <t>Agrupe las piezas en partidas que compartan: misma forma dominante (F1–F7), mismo ambiente/método (A1–A6), mismo perfil de anclaje (R0–R4) y mismo sistema de capas. Típicamente coinciden con las familias de 10_PIEZAS, pero puede subdividir (p. ej., "vigas con ignífugo" aparte de "vigas normales").</t>
  </si>
  <si>
    <t>4.2</t>
  </si>
  <si>
    <t>Una fila por capa</t>
  </si>
  <si>
    <t>Cada partida ocupa tantas filas como capas tenga el sistema: capa 1 = primario, capa 2 = intermedio, capa 3 = acabado (y las que apliquen: intumescente, sellador). Repita en cada fila el área y los códigos de la partida; cambie solo el N° de capa, el ID de producto y el EPS especificado de esa capa.</t>
  </si>
  <si>
    <t>4.3</t>
  </si>
  <si>
    <t>Franjeo en la capa correcta</t>
  </si>
  <si>
    <t>Marque "SI" en franjeo normalmente en la capa 1 (o donde la especificación pida el stripe coat). No lo marque en todas las capas: duplicaría el recargo.</t>
  </si>
  <si>
    <t>4.4</t>
  </si>
  <si>
    <t>Lea los resultados</t>
  </si>
  <si>
    <t>Por cada capa el modelo entrega: EPS corregido (la capa 1 sube por el volumen muerto del perfil de anclaje), rendimiento teórico, litros teóricos, % de pérdida total compuesta, litros prácticos y LITROS DE DESPERDICIO explícitos. Verifique que los % de pérdida le hagan sentido: placa en taller ~15–20%, viga W ~25%, celosía ~45–50%, intumescente +12 puntos adicionales. Si algo sale fuera de esos órdenes, revise los códigos capturados.</t>
  </si>
  <si>
    <t>FASE 5 — ABRASIVO (HOJA 7_ABRASIVO)</t>
  </si>
  <si>
    <t>5.1</t>
  </si>
  <si>
    <t>Elija el sistema de blasteo</t>
  </si>
  <si>
    <t>Por partida: AB2 si la pieza pasa por la máquina de granallado (lo normal en perfiles), AB3 si va a cuarto manual (piezas fuera de gálibo, retrabajos), AB1 solo si se blastea con arena/escoria a cielo abierto (campo). El grado (SP6/SP10/SP5) viene de la especificación del proyecto.</t>
  </si>
  <si>
    <t>5.2</t>
  </si>
  <si>
    <t>Capture precios y presentaciones</t>
  </si>
  <si>
    <t>En la Tabla E ponga el precio vigente por presentación (saco 25 kg de granalla, súper saco de arena) y ajuste la presentación a la de su proveedor. El modelo redondea la compra a presentaciones completas.</t>
  </si>
  <si>
    <t>5.3</t>
  </si>
  <si>
    <t>Calibre la atrición</t>
  </si>
  <si>
    <t>El consumo de granalla precargado (kg/m²) es genérico. Su dato real: kg de granalla repuestos en el periodo ÷ m² procesados en el mismo periodo (vales de almacén vs. reporte de producción). Es el número que más varía entre plantas.</t>
  </si>
  <si>
    <t>FASE 6 — COMPRA Y APU (HOJAS 5_RESUMEN Y 11_APU)</t>
  </si>
  <si>
    <t>6.1</t>
  </si>
  <si>
    <t>Revise la compra en cuñetes</t>
  </si>
  <si>
    <t>5_RESUMEN consolida litros prácticos por producto, redondea a cuñetes completos (ROUNDUP) y muestra el colchón de redondeo y el costo. Verifique: (a) que ningún producto quede con consumo cero inesperado, (b) que el colchón de redondeo sea razonable — si un producto compra 1 cuñete para usar 2 litros, evalúe presentación menor o compartir con otra OT.</t>
  </si>
  <si>
    <t>6.2</t>
  </si>
  <si>
    <t>Arme el APU por familia</t>
  </si>
  <si>
    <t>En 11_APU: copie las referencias verdes de material ($/m² pintura y abrasivo del proyecto) como punto de partida en las columnas azules, ajuste por familia si los sistemas difieren, capture HH/m² por familia (calibre con OTs reales — misma disciplina que su HH/ton), tarifa $/HH, equipo $/m² y el % de indirectos + utilidad según la política comercial vigente.</t>
  </si>
  <si>
    <t>6.3</t>
  </si>
  <si>
    <t>Elija la unidad de venta</t>
  </si>
  <si>
    <t>Seleccione m2 o kg por familia según cómo cotiza el cliente. Verifique el PU en kg contra su intuición: la celosía SIEMPRE debe salir varias veces más cara por kg que la placa. Si no, hay un error de áreas o de ratio kg/m².</t>
  </si>
  <si>
    <t>6.4</t>
  </si>
  <si>
    <t>Costo por pieza</t>
  </si>
  <si>
    <t>10_PIEZAS ya muestra el costo de pintura por pieza, en $/m² y $/kg, tomando el PU de su familia. Útil para valuar avances, cambios de alcance y reclamos.</t>
  </si>
  <si>
    <t>FASE 7 — VALIDACIÓN FINAL ANTES DE OFERTAR (ZONA COPILOTO: SU FIRMA)</t>
  </si>
  <si>
    <t>7.1</t>
  </si>
  <si>
    <t>Checklist de cierre</t>
  </si>
  <si>
    <t>Antes de pasar los números a la oferta verifique: □ ninguna familia en ⚠ REEVALUAR en 12_ESTIMACION; □ factores de 3_FACTORES calibrados o al menos revisados con el supervisor; □ TDS reales capturados (no los ejemplos P01–P04); □ precios de pintura y abrasivo con cotización vigente (no en cero); □ si hay intumescente, EPS tomado de la carta certificada por Hp/A, no de la tabla ilustrativa; □ % indirectos + utilidad autorizado por dirección.</t>
  </si>
  <si>
    <t>7.2</t>
  </si>
  <si>
    <t>Prueba de sensibilidad</t>
  </si>
  <si>
    <t>Cambie ±10% el factor de forma dominante y el precio del producto más caro, y observe cuánto se mueve el costo total. Si la oferta es sensible (&gt;5% del total), documente el supuesto en la oferta como condición (p. ej., "considera aplicación en taller; aplicación en campo se cotiza aparte").</t>
  </si>
  <si>
    <t>7.3</t>
  </si>
  <si>
    <t>Cierre del ciclo (mejora continua)</t>
  </si>
  <si>
    <t>Al terminar el proyecto, compare litros comprados vs. consumidos vs. lo que este modelo predijo, por producto y por partida. La diferencia alimenta la recalibración de 3_FACTORES y 7_ABRASIVO (paso 2.2). Con 3–4 proyectos cerrados, el modelo queda ajustado a SU planta y las ofertas se vuelven defendibles con datos, no con criterio.</t>
  </si>
  <si>
    <t>7.4</t>
  </si>
  <si>
    <t>Errores comunes a evitar</t>
  </si>
  <si>
    <t>(1) Capturar EPS en mils creyendo que son micras (todo el consumo sale 25 veces mal). (2) Usar el área total del modelo sin descontar no pintables. (3) Olvidar el sellador del intumescente como capa. (4) Marcar franjeo en todas las capas. (5) Presupuestar intumescente con un EPS promedio en lugar de por Hp/A. (6) Dejar precios en cero y ofertar solo con litros. (7) No respetar la ventana máxima de repintado en la programación: el lijado no está en este modelo y come el margen.</t>
  </si>
  <si>
    <t>Recuerde el marco de trabajo: este archivo PROPONE (Zona Copiloto). Los factores calibrados, los precios, la unidad de venta y la oferta final los valida y firma la dirección. Ningún número sale de aquí a un cliente sin pasar por los pasos 7.1 a 7.3.</t>
  </si>
  <si>
    <t>ACTUALIZACIÓN: use la hoja 13_PANEL como tablero de captura y resultados (uso directo en Excel), la hoja 14_INTERFAZ_MOTOR para la integración con el Motor IFC/presupuesto, y el asistente de 6_IGNIFUGO para repartir el intumescente entre planta y sitio (dos filas en 4_CALCULO: planta=A1, sitio=A4/A6).</t>
  </si>
  <si>
    <t>ACTUALIZACIÓN 2: antes de calcular el abrasivo, determine la condición inicial del acero (grados A/B/C/D de ISO 8501-1, Tabla F de 7_ABRASIVO) inspeccionando el material en patio: acero nuevo con calamina o acero viejo picado consumen 30–90% más abrasivo que la condición base, y el acero picado altera el perfil de anclaje real (medir con Testex y ajustar la Tabla C).</t>
  </si>
  <si>
    <t>PANEL DE CONTROL — CAPTURA GUIADA Y RESULTADOS</t>
  </si>
  <si>
    <t>Una sola vista para usar el archivo sin perderse: la columna ESTADO le dice qué falta por capturar (se pone OK sola cuando termina cada paso) y abajo están los resultados del presupuesto en vivo. El detalle vive en las demás hojas; aquí solo se supervisa.</t>
  </si>
  <si>
    <t>CHECKLIST DE CAPTURA (en orden)</t>
  </si>
  <si>
    <t>Paso</t>
  </si>
  <si>
    <t>Estado</t>
  </si>
  <si>
    <t>Dónde y qué capturar</t>
  </si>
  <si>
    <t>1. Productos de pintura (TDS) capturados</t>
  </si>
  <si>
    <t>Hoja 2_HOJA_TECNICA: un renglón por producto con % sólidos por volumen, espesores y litros por cuñete, copiados de la hoja técnica.</t>
  </si>
  <si>
    <t>2. Precios de pintura capturados</t>
  </si>
  <si>
    <t>Hoja 2_HOJA_TECNICA columna L: precio por cuñete de la cotización vigente. Sin precio, el costo sale en cero.</t>
  </si>
  <si>
    <t>3. Factores de desperdicio revisados</t>
  </si>
  <si>
    <t>Hoja 3_FACTORES: revise las 4 tablas con su supervisor de pintura y ajuste las celdas amarillas. Cuando lo haga, ponga SI en la celda azul de la derecha →</t>
  </si>
  <si>
    <t>4. Piezas o áreas capturadas</t>
  </si>
  <si>
    <t>Hoja 10_PIEZAS (si hay modelo Tekla/IFC) o hoja 12_ESTIMACION (si solo hay tonelaje: espesor promedio + % no pintable por familia).</t>
  </si>
  <si>
    <t>5. Áreas validadas (sin alertas)</t>
  </si>
  <si>
    <t>Hoja 12_ESTIMACION: ninguna familia debe quedar en ⚠ REEVALUAR. Si hay alertas, corrija espesor promedio, % no pintable o el listado de piezas antes de seguir.</t>
  </si>
  <si>
    <t>6. Partidas y capas capturadas</t>
  </si>
  <si>
    <t>Hoja 4_CALCULO: una fila por capa de cada partida. Si hay intumescente, capture DOS filas (planta y sitio) usando el asistente de 6_IGNIFUGO.</t>
  </si>
  <si>
    <t>7. Abrasivo capturado con precio</t>
  </si>
  <si>
    <t>Hoja 7_ABRASIVO: partidas de blasteo + precio por presentación de arena/granalla en la Tabla E.</t>
  </si>
  <si>
    <t>8. APU armado (MO, equipo, indirectos)</t>
  </si>
  <si>
    <t>Hoja 11_APU: copie las referencias verdes de material a las columnas azules, capture HH/m², tarifa, equipo e indirectos, y elija la unidad m2/kg por familia.</t>
  </si>
  <si>
    <t>Confirmación factores revisados (escriba SI):</t>
  </si>
  <si>
    <t>NO</t>
  </si>
  <si>
    <t>RESULTADOS DEL PRESUPUESTO (en vivo)</t>
  </si>
  <si>
    <t>Indicador</t>
  </si>
  <si>
    <t>Valor</t>
  </si>
  <si>
    <t>Área pintable total (m²)</t>
  </si>
  <si>
    <t>Peso total (kg)</t>
  </si>
  <si>
    <t>Pintura — litros teóricos</t>
  </si>
  <si>
    <t>Pintura — litros prácticos (con desperdicio)</t>
  </si>
  <si>
    <t>Pintura — litros de desperdicio</t>
  </si>
  <si>
    <t>Pintura — % desperdicio global</t>
  </si>
  <si>
    <t>Pintura — cuñetes a comprar (total)</t>
  </si>
  <si>
    <t>Pintura — costo de compra ($)</t>
  </si>
  <si>
    <t>Abrasivo — kg a comprar</t>
  </si>
  <si>
    <t>Abrasivo — costo de compra ($)</t>
  </si>
  <si>
    <t>Aplicación — costo total según APU ($)</t>
  </si>
  <si>
    <t>Aplicación — costo promedio $/m²</t>
  </si>
  <si>
    <t>Aplicación — costo promedio $/kg</t>
  </si>
  <si>
    <t>Si todos los pasos del checklist están en OK y las cifras de arriba le hacen sentido, pase al checklist de cierre 7.1 del instructivo (hoja 0_PASO_A_PASO) antes de llevar estos números a la oferta.</t>
  </si>
  <si>
    <t>MOTOR DE PRESUPUESTO — MÓDULO PINTURA: DESPERDICIOS Y COMPRA EN CUÑETES</t>
  </si>
  <si>
    <t>METALITEC / Grupo Baysa — Sistemas de pintura sobre acero estructural (SSPC / ISO 12944)</t>
  </si>
  <si>
    <t>OBJETIVO</t>
  </si>
  <si>
    <t>Determinar la cantidad de pintura a comprar (en cuñetes) por cada producto del sistema, partiendo de la hoja técnica del fabricante, el perfil de anclaje especificado y el área a pintar, incorporando de forma explícita y auditable los factores de desperdicio: forma de la pieza, ambiente de aplicación, método de aplicación, corrección por perfil de anclaje y pérdidas entre capas. Incluye consideraciones para pinturas ignífugas (intumescentes).</t>
  </si>
  <si>
    <t>FLUJO DE USO</t>
  </si>
  <si>
    <t>1) Capture cada producto de pintura en la hoja 2_HOJA_TECNICA transcribiendo los datos de la hoja técnica (TDS) del fabricante: % sólidos por volumen, EPS recomendado, presentación del cuñete, si es intumescente, etc.  2) Revise/calibre los factores de las tablas en 3_FACTORES (celdas azules = editables).  3) En 4_CALCULO capture cada partida: área, forma, ambiente, método, perfil de anclaje y el sistema de capas (producto + EPS por capa).  4) Lea el resultado: litros teóricos, % desperdicio total, litros prácticos y cuñetes a comprar.  5) 5_RESUMEN consolida la compra por producto.  6) Si hay intumescente, revise 6_IGNIFUGO para masividad Hp/A y sus reglas.</t>
  </si>
  <si>
    <t>CONVENCIÓN DE COLORES</t>
  </si>
  <si>
    <t>AZUL = dato de entrada (usted lo captura o calibra). NEGRO = fórmula (no tocar). VERDE = vínculo entre hojas. Fondo AMARILLO = supuesto clave que requiere calibración con datos reales de planta antes de usar en oferta.</t>
  </si>
  <si>
    <t>FÓRMULA BASE (SSPC)</t>
  </si>
  <si>
    <t>Rendimiento teórico (m²/L) = (% Sólidos por Volumen × 10) / EPS seco (µm).  Consumo teórico (L) = Área (m²) / Rendimiento teórico.  Consumo práctico (L) = Consumo teórico / (1 − % pérdida total).  La pérdida total se compone multiplicativamente: (1−pérdida) = (1−p.forma) × (1−p.ambiente/método) × (1−p.entre capas), y la capa 1 lleva además la corrección de volumen muerto por perfil de anclaje.</t>
  </si>
  <si>
    <t>PERFIL DE ANCLAJE</t>
  </si>
  <si>
    <t>La rugosidad del granallado (p. ej. SSPC-SP10 con perfil 50–75 µm) consume pintura: los picos del perfil "roban" espesor a la primera capa (volumen muerto). Regla práctica de la industria (Hempel, Jotun, NACE): sumar al EPS de la capa 1 una corrección ≈ 1/3 a 2/3 del perfil de anclaje según rugosidad. La tabla en 3_FACTORES define la corrección por rango de perfil; solo aplica a la CAPA 1 (primario).</t>
  </si>
  <si>
    <t>DESPERDICIO REPORTADO</t>
  </si>
  <si>
    <t>El modelo reporta, por cada capa y por cada producto, el % de desperdicio total considerado y los litros de desperdicio (diferencia entre consumo práctico y teórico), para que Comercial pueda defender el APU y Compras conozca el excedente implícito.</t>
  </si>
  <si>
    <t>IGNÍFUGAS</t>
  </si>
  <si>
    <t>Si el producto está marcado como intumescente en 2_HOJA_TECNICA, el cálculo aplica automáticamente el recargo adicional de desperdicio de la tabla de 3_FACTORES (múltiples pasadas, alto espesor, malla en algunos casos) y la hoja 6_IGNIFUGO da la guía de EPS por masividad Hp/A. El EPS de intumescente NO sale del TDS genérico: sale del certificado del fabricante según Hp/A y tiempo de resistencia al fuego requerido (30/60/90/120 min). Zona Humana: la validación del espesor certificado es indelegable.</t>
  </si>
  <si>
    <t>ZONA COPILOTO</t>
  </si>
  <si>
    <t>La IA propone los factores típicos de la industria precargados; Daniel valida y calibra con mediciones reales de planta (consumo real vs. teórico por OT) y firma los volúmenes de compra. Los valores precargados NO deben usarse en una oferta sin calibración.</t>
  </si>
  <si>
    <t>CATÁLOGO DE PRODUCTOS — DATOS DE HOJA TÉCNICA (TDS) DEL FABRICANTE</t>
  </si>
  <si>
    <t>Capture en AZUL los datos tal como aparecen en la hoja técnica. Las columnas en negro se calculan solas.</t>
  </si>
  <si>
    <t>ID</t>
  </si>
  <si>
    <t>Producto / Nombre comercial</t>
  </si>
  <si>
    <t>Fabricante</t>
  </si>
  <si>
    <t>Tipo genérico</t>
  </si>
  <si>
    <t>% Sólidos x Volumen</t>
  </si>
  <si>
    <t>EPS mín (µm)</t>
  </si>
  <si>
    <t>EPS recom (µm)</t>
  </si>
  <si>
    <t>EPS máx (µm)</t>
  </si>
  <si>
    <t>Cuñete (L)</t>
  </si>
  <si>
    <t>¿Intumescente? (SI/NO)</t>
  </si>
  <si>
    <t>Precio x cuñete ($)</t>
  </si>
  <si>
    <t>Rend. teórico @EPS recom (m²/L)</t>
  </si>
  <si>
    <t>Rend. teórico (m²/cuñete)</t>
  </si>
  <si>
    <t>Notas TDS (diluyente, pot-life, repintado)</t>
  </si>
  <si>
    <t>P01</t>
  </si>
  <si>
    <t>Primario epóxico rico en zinc</t>
  </si>
  <si>
    <t>(capturar)</t>
  </si>
  <si>
    <t>Zinc epóxico</t>
  </si>
  <si>
    <t>P02</t>
  </si>
  <si>
    <t>Epóxico poliamida alto sólidos</t>
  </si>
  <si>
    <t>Epóxico intermedio</t>
  </si>
  <si>
    <t>P03</t>
  </si>
  <si>
    <t>Acabado poliuretano alifático</t>
  </si>
  <si>
    <t>Poliuretano acabado</t>
  </si>
  <si>
    <t>P04</t>
  </si>
  <si>
    <t>Intumescente base agua</t>
  </si>
  <si>
    <t>Intumescente celulósico</t>
  </si>
  <si>
    <t>SI</t>
  </si>
  <si>
    <t>P05</t>
  </si>
  <si>
    <t>P06</t>
  </si>
  <si>
    <t>P07</t>
  </si>
  <si>
    <t>P08</t>
  </si>
  <si>
    <t>Nota: Rend. teórico (m²/L) = %SV × 10 / EPS(µm) × 100 = %SV × 1000 / EPS. Ejemplo: 62% SV @ 75 µm → 8.27 m²/L. Los productos P01–P04 son EJEMPLOS genéricos: sustituya con el TDS real del proyecto.</t>
  </si>
  <si>
    <t>TABLAS DE FACTORES DE DESPERDICIO (CALIBRAR CON DATOS DE PLANTA)</t>
  </si>
  <si>
    <t>TABLA A — FACTOR DE FORMA DE LA PIEZA (pérdida por overspray según geometría)</t>
  </si>
  <si>
    <t>Código</t>
  </si>
  <si>
    <t>Descripción de la pieza</t>
  </si>
  <si>
    <t>% Pérdida forma</t>
  </si>
  <si>
    <t>Criterio</t>
  </si>
  <si>
    <t>F1</t>
  </si>
  <si>
    <t>Placa / superficie plana continua (tanques, placas)</t>
  </si>
  <si>
    <t>Superficie continua, overspray mínimo; el abanico casi todo deposita.</t>
  </si>
  <si>
    <t>F2</t>
  </si>
  <si>
    <t>Perfil pesado W/HP alma ancha (&gt;200 mm de patín)</t>
  </si>
  <si>
    <t>Caras anchas pero con cantos y filetes; algo de rebote en esquinas interiores.</t>
  </si>
  <si>
    <t>F3</t>
  </si>
  <si>
    <t>Perfil mediano W/C/L (100–200 mm)</t>
  </si>
  <si>
    <t>Relación perímetro/área alta; el abanico excede el ancho de la cara.</t>
  </si>
  <si>
    <t>F4</t>
  </si>
  <si>
    <t>Perfil ligero / ángulos / redondos (&lt;100 mm)</t>
  </si>
  <si>
    <t>Gran parte del abanico pasa de largo; piezas angostas.</t>
  </si>
  <si>
    <t>F5</t>
  </si>
  <si>
    <t>Celosía / armadura / joist (estructura abierta)</t>
  </si>
  <si>
    <t>Estructura abierta: el aire pasa a través; pérdida típica 35–50%.</t>
  </si>
  <si>
    <t>F6</t>
  </si>
  <si>
    <t>HSS / tubulares (solo exterior)</t>
  </si>
  <si>
    <t>Superficie curva continua, pero el abanico envuelve y escapa tangencialmente.</t>
  </si>
  <si>
    <t>F7</t>
  </si>
  <si>
    <t>Miscelánea compleja (conexiones, escaleras, barandal)</t>
  </si>
  <si>
    <t>Geometría irregular, muchas caras pequeñas, retoque con brocha.</t>
  </si>
  <si>
    <t>TABLA B — AMBIENTE Y MÉTODO DE APLICACIÓN (pérdida por condiciones + eficiencia de transferencia)</t>
  </si>
  <si>
    <t>Ambiente / Método</t>
  </si>
  <si>
    <t>% Pérdida amb+mét</t>
  </si>
  <si>
    <t>A1</t>
  </si>
  <si>
    <t>Taller controlado — Airless</t>
  </si>
  <si>
    <t>Cabina/nave cerrada, sin viento; airless con eficiencia de transferencia 70–80%.</t>
  </si>
  <si>
    <t>A2</t>
  </si>
  <si>
    <t>Taller controlado — Convencional (aire)</t>
  </si>
  <si>
    <t>Pistola convencional: eficiencia 45–60% aun en ambiente controlado.</t>
  </si>
  <si>
    <t>A3</t>
  </si>
  <si>
    <t>Taller controlado — Brocha/Rodillo</t>
  </si>
  <si>
    <t>Casi sin overspray; pérdida por residuo en charola/rodillo y retoques.</t>
  </si>
  <si>
    <t>A4</t>
  </si>
  <si>
    <t>Exterior / campo — Airless</t>
  </si>
  <si>
    <t>Viento y condiciones variables: overspray se duplica vs. taller; incluye deriva.</t>
  </si>
  <si>
    <t>A5</t>
  </si>
  <si>
    <t>Exterior / campo — Convencional (aire)</t>
  </si>
  <si>
    <t>La peor combinación: baja transferencia + viento. Evitar si es posible.</t>
  </si>
  <si>
    <t>A6</t>
  </si>
  <si>
    <t>Exterior / campo — Brocha/Rodillo (retoque montaje)</t>
  </si>
  <si>
    <t>Retoques en obra: pérdida baja de aplicación pero botes abiertos y sobrantes.</t>
  </si>
  <si>
    <t>TABLA C — CORRECCIÓN POR PERFIL DE ANCLAJE (volumen muerto — SOLO CAPA 1 / PRIMARIO)</t>
  </si>
  <si>
    <t>Perfil de anclaje especificado</t>
  </si>
  <si>
    <t>Perfil (µm)</t>
  </si>
  <si>
    <t>µm extra a sumar al EPS capa 1</t>
  </si>
  <si>
    <t>R0</t>
  </si>
  <si>
    <t>Sin granallado / SP2-SP3 (limpieza manual)</t>
  </si>
  <si>
    <t>Sin perfil generado: no hay volumen muerto significativo.</t>
  </si>
  <si>
    <t>R1</t>
  </si>
  <si>
    <t>Perfil fino 25–40 µm (SP6 ligero)</t>
  </si>
  <si>
    <t>≈1/3 del perfil: rugosidad fina, poco volumen muerto.</t>
  </si>
  <si>
    <t>R2</t>
  </si>
  <si>
    <t>Perfil medio 40–60 µm (SP6 / SP10 típico)</t>
  </si>
  <si>
    <t>≈40–50% del perfil. Rango más común en estructura.</t>
  </si>
  <si>
    <t>R3</t>
  </si>
  <si>
    <t>Perfil grueso 60–85 µm (SP10 / SP5 con abrasivo angular)</t>
  </si>
  <si>
    <t>≈50% del perfil: picos altos consumen primario.</t>
  </si>
  <si>
    <t>R4</t>
  </si>
  <si>
    <t>Perfil muy grueso &gt;85 µm (granalla angular gruesa / intumescente)</t>
  </si>
  <si>
    <t>≈60% del perfil; usual para intumescentes y zinc silicato.</t>
  </si>
  <si>
    <t>TABLA D — PÉRDIDAS ENTRE CAPAS Y RECARGOS ADICIONALES</t>
  </si>
  <si>
    <t>Concepto</t>
  </si>
  <si>
    <t>% Pérdida</t>
  </si>
  <si>
    <t>D1</t>
  </si>
  <si>
    <t>Pérdida entre capas (capa 2 en adelante)</t>
  </si>
  <si>
    <t>Retoques de puntos bajos detectados con medidor, lijado/reactivación, franjeo (stripe coat) no medido aparte.</t>
  </si>
  <si>
    <t>D2</t>
  </si>
  <si>
    <t>Residuo en envase, mangueras y equipo (por producto/lote)</t>
  </si>
  <si>
    <t>Pintura que queda en cuñete, bomba, mangueras, filtros y purgas al cambiar de color/producto.</t>
  </si>
  <si>
    <t>D3</t>
  </si>
  <si>
    <t>Recargo pintura INTUMESCENTE (adicional)</t>
  </si>
  <si>
    <t>Altos espesores en múltiples pasadas, descuelgues, control de EPS húmedo pasada por pasada, mermas por pot-life en base solvente.</t>
  </si>
  <si>
    <t>D4</t>
  </si>
  <si>
    <t>Recargo franjeo / stripe coat en cantos y soldaduras (si no se cuantifica su área)</t>
  </si>
  <si>
    <t>Cordón adicional a brocha en cantos, tornillos y soldaduras; consume producto no capturado en el área plana.</t>
  </si>
  <si>
    <t>Composición: (1−Pérdida total) = (1−forma) × (1−amb/mét) × (1−entre capas si aplica) × (1−residuo equipo) × (1−intumescente si aplica) × (1−franjeo si aplica). La corrección por perfil de anclaje NO es un %: se suma en µm al EPS de la capa 1.</t>
  </si>
  <si>
    <t>CÁLCULO DE CONSUMO Y DESPERDICIO POR PARTIDA Y CAPA</t>
  </si>
  <si>
    <t>Una fila por CAPA de cada partida. Capture las celdas azules; use los códigos de 3_FACTORES y los ID de producto de 2_HOJA_TECNICA.</t>
  </si>
  <si>
    <t>Partida</t>
  </si>
  <si>
    <t>Descripción</t>
  </si>
  <si>
    <t>Área (m²)</t>
  </si>
  <si>
    <t>Forma (F1-F7)</t>
  </si>
  <si>
    <t>Amb/Mét (A1-A6)</t>
  </si>
  <si>
    <t>Perfil ancl. (R0-R4)</t>
  </si>
  <si>
    <t>N° capa (1,2,3…)</t>
  </si>
  <si>
    <t>ID Prod.</t>
  </si>
  <si>
    <t>EPS espec. capa (µm)</t>
  </si>
  <si>
    <t>¿Franjeo? (SI/NO)</t>
  </si>
  <si>
    <t>EPS corregido (µm)</t>
  </si>
  <si>
    <t>Rend. teórico (m²/L)</t>
  </si>
  <si>
    <t>Litros teóricos</t>
  </si>
  <si>
    <t>% Pérdida total</t>
  </si>
  <si>
    <t>Litros prácticos</t>
  </si>
  <si>
    <t>Litros desperdicio</t>
  </si>
  <si>
    <t>Cuñetes (info capa)</t>
  </si>
  <si>
    <t>PT-01</t>
  </si>
  <si>
    <t>Vigas principales W24 nave</t>
  </si>
  <si>
    <t>PT-02</t>
  </si>
  <si>
    <t>Armadura de cubierta (celosía)</t>
  </si>
  <si>
    <t>PT-03</t>
  </si>
  <si>
    <t>Columnas con protección ignífuga R60</t>
  </si>
  <si>
    <t>Columnas ignífugo R60 — INTUMESCENTE EN PLANTA</t>
  </si>
  <si>
    <t>Columnas ignífugo R60 — INTUMESCENTE EN SITIO</t>
  </si>
  <si>
    <t>TOTALES</t>
  </si>
  <si>
    <t>RESUMEN DE COMPRA POR PRODUCTO — CUÑETES Y DESPERDICIO</t>
  </si>
  <si>
    <t>Consolida 4_CALCULO por producto. La compra se redondea a cuñetes completos; el "colchón de compra" es el excedente por redondeo.</t>
  </si>
  <si>
    <t>Producto</t>
  </si>
  <si>
    <t>% Desp. medio</t>
  </si>
  <si>
    <t>Cuñetes a comprar</t>
  </si>
  <si>
    <t>Litros comprados</t>
  </si>
  <si>
    <t>Colchón redondeo (L)</t>
  </si>
  <si>
    <t>Costo compra ($)</t>
  </si>
  <si>
    <t>TOTAL</t>
  </si>
  <si>
    <t>PINTURA INTUMESCENTE — GUÍA DE MASIVIDAD Hp/A Y CONSIDERACIONES</t>
  </si>
  <si>
    <t>TABLA ILUSTRATIVA — EPS (µm) según masividad Hp/A y resistencia al fuego (SUSTITUIR por certificado del fabricante)</t>
  </si>
  <si>
    <t>Hp/A (m⁻¹)</t>
  </si>
  <si>
    <t>R30 (µm)</t>
  </si>
  <si>
    <t>R60 (µm)</t>
  </si>
  <si>
    <t>R90 (µm)</t>
  </si>
  <si>
    <t>R120 (µm)</t>
  </si>
  <si>
    <t>Comentario</t>
  </si>
  <si>
    <t>Secciones muy pesadas: espesores mínimos.</t>
  </si>
  <si>
    <t>Rango común de columnas W pesadas.</t>
  </si>
  <si>
    <t>Vigas y columnas medianas.</t>
  </si>
  <si>
    <t>Perfiles ligeros: espesores altos; evaluar mortero proyectado como alternativa.</t>
  </si>
  <si>
    <t>Límite práctico usual de perfiles a proteger con intumescente.</t>
  </si>
  <si>
    <t>CALCULADORA DE MASIVIDAD Hp/A</t>
  </si>
  <si>
    <t>Perímetro expuesto Hp (m):</t>
  </si>
  <si>
    <t>3 caras o 4 caras según condición de exposición (losa sobre patín superior = 3 caras).</t>
  </si>
  <si>
    <t>Área de la sección A (m²):</t>
  </si>
  <si>
    <t>Hp/A (m⁻¹):</t>
  </si>
  <si>
    <t>CONSIDERACIONES OBLIGATORIAS PARA INTUMESCENTES</t>
  </si>
  <si>
    <t>EPS certificado</t>
  </si>
  <si>
    <t>El espesor NO sale del TDS genérico: sale de la carta de espesores certificada del fabricante (UL 263 / ASTM E119 / EN 13381-8) para el Hp/A de cada perfil y el tiempo R requerido. Zona Humana: validar contra certificado y proyecto.</t>
  </si>
  <si>
    <t>Primario compatible</t>
  </si>
  <si>
    <t>Solo primarios aprobados por el fabricante del intumescente (normalmente epóxico o zinc aprobado, 50–75 µm). Un primario no certificado invalida la protección.</t>
  </si>
  <si>
    <t>Múltiples pasadas</t>
  </si>
  <si>
    <t>Espesor máximo por pasada típico 400–800 µm húmedo (base agua) — un R60 puede requerir 3–6 pasadas con secado entre ellas. Cada pasada suma pérdidas: por eso la Tabla D aplica el recargo D3.</t>
  </si>
  <si>
    <t>Ambiente de aplicación</t>
  </si>
  <si>
    <t>Base agua: aplicar en taller o ambiente controlado (T &gt; 10 °C, HR &lt; 80%, sustrato 3 °C sobre punto de rocío). Exterior sin control = riesgo de lavado por lluvia antes de curar.</t>
  </si>
  <si>
    <t>Sellador / top coat</t>
  </si>
  <si>
    <t>En exposición exterior o C3+, el intumescente requiere sello de acabado aprobado; incluirlo como capa adicional en 4_CALCULO.</t>
  </si>
  <si>
    <t>Densidad y rendimiento</t>
  </si>
  <si>
    <t>Los intumescentes rinden poco (SV 65–72%, EPS enormes): 1 m² a 1,000 µm consume ≈1.4–1.5 L teóricos. El costo por m² domina el APU: cotizar por Hp/A real, nunca con EPS promedio.</t>
  </si>
  <si>
    <t>Medición y trazabilidad</t>
  </si>
  <si>
    <t>Registrar EPS por pasada (SSPC-PA 2 nivel por elemento); el cliente/DRO exige el registro para liberar. Reproceso por espesor bajo = más consumo no presupuestado si no se controla.</t>
  </si>
  <si>
    <t>Malla de refuerzo</t>
  </si>
  <si>
    <t>Espesores &gt; ~3,000 µm o secciones críticas pueden requerir malla de refuerzo según fabricante: costo y HH adicionales fuera de este módulo.</t>
  </si>
  <si>
    <t>REPARTO PLANTA / SITIO DEL INTUMESCENTE (asistente de captura)</t>
  </si>
  <si>
    <t>El intumescente casi nunca se termina en planta: lo usual es aplicar el grueso del espesor en taller (ambiente controlado, mejor rendimiento) y completar en sitio las últimas manos, los retoques de montaje y las zonas de conexión. Capture aquí el reparto y el asistente le da el EPS de cada porción; luego capture DOS filas en 4_CALCULO para la misma partida: la porción PLANTA con ambiente A1 y la porción SITIO con ambiente A4 o A6. El modelo aplicará automáticamente el mayor desperdicio de obra (viento, condiciones, brocha) y el APU puede cargar la HH de obra más alta. El ejemplo PT-03 de 4_CALCULO ya está capturado así.</t>
  </si>
  <si>
    <t>EPS total requerido (µm):</t>
  </si>
  <si>
    <t>Reparto típico: 60–80% en planta. Deje más al sitio si habrá mucho daño de transporte/montaje o si las conexiones son de campo.</t>
  </si>
  <si>
    <t>% del EPS aplicado en PLANTA:</t>
  </si>
  <si>
    <t>EPS a capturar como fila PLANTA (A1):</t>
  </si>
  <si>
    <t>EPS a capturar como fila SITIO (A4/A6):</t>
  </si>
  <si>
    <t>Rendimientos distintos planta vs. obra (para el APU): el mismo aplicador rinde en obra entre 40% y 60% de lo que rinde en planta (andamios, clima, logística de materiales, esperas de secado a la intemperie). Capture la partida de sitio con HH/m² propia en 11_APU o cargue la diferencia como partida separada. La pintura también rinde menos: eso ya lo captura el ambiente A4/A6 en la fila de sitio.</t>
  </si>
  <si>
    <t>CONSUMO DE ABRASIVO — ARENA (SANDBLASTING) Y GRANALLA (SHOT BLASTING)</t>
  </si>
  <si>
    <t>La arena es de UN SOLO USO (a cielo abierto no se recupera; se contamina y fragmenta). La granalla de acero RECIRCULA en máquina o cuarto de recuperación: el consumo neto es solo la merma por atrición, fugas y limpieza. Calibre los valores en amarillo con datos de planta.</t>
  </si>
  <si>
    <t>TABLA E — PARÁMETROS DEL ABRASIVO (consumo bruto por grado de limpieza + desperdicio más probable)</t>
  </si>
  <si>
    <t>Abrasivo / Sistema</t>
  </si>
  <si>
    <t>Consumo SP6 (kg/m²)</t>
  </si>
  <si>
    <t>Consumo SP10 (kg/m²)</t>
  </si>
  <si>
    <t>Consumo SP5 (kg/m²)</t>
  </si>
  <si>
    <t>% Desperdicio probable</t>
  </si>
  <si>
    <t>Presentación (kg)</t>
  </si>
  <si>
    <t>Precio ($/presentación)</t>
  </si>
  <si>
    <t>AB1</t>
  </si>
  <si>
    <t>Arena sílica / mineral — sandblasting a cielo abierto</t>
  </si>
  <si>
    <t>Un solo uso. El consumo bruto ya incluye que no se recupera; el desperdicio adicional (15%) cubre humedad, derrames, fondo de sacos/súper sacos y arena no aprovechable del lote. Perfil obtenido más irregular. Restricciones de sílice libre (NOM-010-STPS): considerar escoria de cobre/níquel como sustituto con consumos similares.</t>
  </si>
  <si>
    <t>AB2</t>
  </si>
  <si>
    <t>Granalla de acero (shot/grit) — máquina de granallado con recuperación</t>
  </si>
  <si>
    <t>Recircula 150–250 ciclos: el consumo neto es la REPOSICIÓN por atrición (desgaste del grano) + finos extraídos por el separador. El desperdicio adicional (8%) cubre fugas de sellos, granalla atrapada en cajones/perfiles tubulares que se va con la pieza, derrames y purgas de mezcla operativa.</t>
  </si>
  <si>
    <t>AB3</t>
  </si>
  <si>
    <t>Granalla de acero — cuarto de blasteo manual con recuperación parcial</t>
  </si>
  <si>
    <t>Recuperación por barrido/tornillo sinfín menos eficiente que máquina: más pérdida por mezcla con óxido/cascarilla y granalla que sale en las piezas. Desperdicio 20% sobre la reposición.</t>
  </si>
  <si>
    <t>Presentación: arena en súper saco (1,500 kg típico) o granel; granalla en saco de 25 kg. Ajuste según su proveedor. Los consumos por m² dependen de la condición inicial del acero (grado de oxidación A–D según ISO 8501-1): los valores precargados asumen condición B–C típica de perfil comercial.</t>
  </si>
  <si>
    <t>CÁLCULO DE ABRASIVO POR PARTIDA</t>
  </si>
  <si>
    <t>Abrasivo (AB1-AB3)</t>
  </si>
  <si>
    <t>Grado limpieza (SP6/SP10/SP5)</t>
  </si>
  <si>
    <t>Consumo base (kg/m²)</t>
  </si>
  <si>
    <t>Kg teóricos</t>
  </si>
  <si>
    <t>% Desperdicio</t>
  </si>
  <si>
    <t>Kg totales</t>
  </si>
  <si>
    <t>Presentaciones a comprar</t>
  </si>
  <si>
    <t>Kg comprados</t>
  </si>
  <si>
    <t>Costo ($)</t>
  </si>
  <si>
    <t>Condición (A-D)</t>
  </si>
  <si>
    <t>SP10</t>
  </si>
  <si>
    <t>B</t>
  </si>
  <si>
    <t>C</t>
  </si>
  <si>
    <t>A</t>
  </si>
  <si>
    <t>TABLA F — CONDICIÓN INICIAL DEL ACERO (ISO 8501-1): MULTIPLICADOR DE CONSUMO DE ABRASIVO</t>
  </si>
  <si>
    <t>Grado</t>
  </si>
  <si>
    <t>Condición del acero</t>
  </si>
  <si>
    <t>Multiplicador</t>
  </si>
  <si>
    <t>Efecto en consumo y en el PERFIL DE ANCLAJE</t>
  </si>
  <si>
    <t>ACERO NUEVO con calamina (cascarilla de laminación) intacta y adherida</t>
  </si>
  <si>
    <t>Aunque el perfil sea "nuevo", la calamina es DURA y está bien pegada: arrancarla consume más abrasivo que un acero ligeramente oxidado, y exige granalla ANGULAR (grit) o mezcla con alto % de grit — el shot esférico solo la pule. Si no se corta la calamina, tampoco se genera perfil de anclaje sobre el metal base: se estaría midiendo perfil sobre cascarilla que se desprenderá con la pintura encima.</t>
  </si>
  <si>
    <t>ACERO NUEVO intemperizado: la calamina empieza a desprenderse, óxido superficial ligero</t>
  </si>
  <si>
    <t>La condición BASE de las tablas de consumo (el perfil comercial típico llega así). La calamina parcialmente suelta se remueve fácil y el perfil especificado se logra en una pasada normal.</t>
  </si>
  <si>
    <t>ACERO VIEJO oxidado: la calamina ya se cayó por corrosión, óxido general, picaduras apenas visibles</t>
  </si>
  <si>
    <t>El óxido empaca y "amortigua" el impacto del abrasivo, y contamina la mezcla operativa de la granalladora (los finos de óxido hay que purgarlos: más reposición). El perfil se logra, pero la limpieza exige más pasadas para el mismo grado SP.</t>
  </si>
  <si>
    <t>D</t>
  </si>
  <si>
    <t>ACERO VIEJO picado: corrosión con picaduras (pitting) visibles en toda la superficie</t>
  </si>
  <si>
    <t>El peor caso: sacar el óxido del fondo de cada picadura consume mucho abrasivo y tiempo. OJO CON EL PERFIL: las picaduras generan una rugosidad propia que suele EXCEDER el perfil especificado — mida el perfil real con cinta Testex y use R3/R4 en la Tabla C de 3_FACTORES, porque el volumen muerto será mayor y la capa 1 consumirá más primario. En picaduras profundas puede requerirse capa barrera adicional (surface tolerant) o espesor extra de primario: acordarlo con el cliente antes de cotizar.</t>
  </si>
  <si>
    <t>Si desconoce la condición, inspeccione el material en patio ANTES de cotizar el blasteo: la diferencia entre B y D casi duplica el abrasivo y las horas de máquina. En proyectos de rehabilitación/reforzamiento (acero en servicio), asuma C o D salvo evidencia en contrario. La condición se captura por partida en la columna O del cálculo de arriba; si se deja vacía, el modelo asume B (multiplicador 1.00).</t>
  </si>
  <si>
    <t>GLOSARIO DE TÉRMINOS TÉCNICOS Y ABREVIACIONES</t>
  </si>
  <si>
    <t>— PINTURA Y SISTEMA —</t>
  </si>
  <si>
    <t>TDS</t>
  </si>
  <si>
    <t>Technical Data Sheet (hoja técnica): documento del fabricante con % sólidos, EPS recomendado, rendimiento, diluyente, pot-life, tiempos de repintado y condiciones de aplicación.</t>
  </si>
  <si>
    <t>% SV</t>
  </si>
  <si>
    <t>Sólidos por Volumen: fracción del volumen de la pintura líquida que queda como película seca tras evaporar solventes. Base de la fórmula de rendimiento.</t>
  </si>
  <si>
    <t>EPS</t>
  </si>
  <si>
    <t>Espesor de Película Seca (DFT — Dry Film Thickness): espesor de la pintura ya curada, medido en micras (µm). Es lo que especifica el proyecto y se mide con medidor magnético/eddy current.</t>
  </si>
  <si>
    <t>EPH</t>
  </si>
  <si>
    <t>Espesor de Película Húmeda (WFT — Wet Film Thickness): espesor recién aplicado, medido con peine. EPH = EPS / %SV (sin dilución). Control en línea durante la aplicación.</t>
  </si>
  <si>
    <t>µm (micra)</t>
  </si>
  <si>
    <t>Micrómetro: milésima de milímetro. 1 mil (milésima de pulgada) = 25.4 µm.</t>
  </si>
  <si>
    <t>Rendimiento teórico</t>
  </si>
  <si>
    <t>m² que cubre 1 litro al EPS especificado sin ninguna pérdida: %SV × 1000 / EPS(µm). El rendimiento práctico es siempre menor por los factores de desperdicio.</t>
  </si>
  <si>
    <t>Cuñete</t>
  </si>
  <si>
    <t>Envase estándar de pintura, típicamente de 5 galones ≈ 18.9 L (o 19 L nominal). Algunos intumescentes vienen en 20–25 L o por peso.</t>
  </si>
  <si>
    <t>Volumen muerto</t>
  </si>
  <si>
    <t>Pintura de la primera capa que "rellena" los valles del perfil de anclaje y no aporta espesor sobre los picos. Se compensa sumando µm extra al EPS de la capa 1.</t>
  </si>
  <si>
    <t>Franjeo (stripe coat)</t>
  </si>
  <si>
    <t>Capa adicional aplicada a brocha/rodillo sobre cantos, aristas, soldaduras y tornillería, donde la pintura se retrae y el espesor queda bajo. Exigida por buenas prácticas ISO 12944 en C3+.</t>
  </si>
  <si>
    <t>Overspray</t>
  </si>
  <si>
    <t>Pintura atomizada que no se deposita en la pieza y se pierde en el aire. Función de la geometría de la pieza, el método y el viento.</t>
  </si>
  <si>
    <t>Eficiencia de transferencia</t>
  </si>
  <si>
    <t>% de la pintura atomizada que efectivamente se deposita: airless 70–80%, convencional 45–60%, brocha/rodillo &gt;95%.</t>
  </si>
  <si>
    <t>Pot-life</t>
  </si>
  <si>
    <t>Tiempo útil de la mezcla en productos de dos componentes (2K) después de catalizar. Mezcla no aplicada dentro del pot-life = desperdicio directo.</t>
  </si>
  <si>
    <t>Primario / Intermedio / Acabado</t>
  </si>
  <si>
    <t>Las tres capas típicas de un sistema: el primario da adherencia y protección anticorrosiva (zinc), el intermedio da barrera (epóxico), el acabado da resistencia UV y color (poliuretano).</t>
  </si>
  <si>
    <t>2K</t>
  </si>
  <si>
    <t>Producto de dos componentes (resina + catalizador/endurecedor) que curan por reacción química.</t>
  </si>
  <si>
    <t>C1–C5 / ISO 12944</t>
  </si>
  <si>
    <t>Categorías de corrosividad atmosférica: C1 interior seco … C5 industrial/marino severo. Determinan el sistema y los espesores.</t>
  </si>
  <si>
    <t>— PREPARACIÓN DE SUPERFICIE —</t>
  </si>
  <si>
    <t>SSPC</t>
  </si>
  <si>
    <t>The Society for Protective Coatings (hoy AMPP, fusionada con NACE): emite los estándares de preparación de superficie y aplicación más usados en acero estructural.</t>
  </si>
  <si>
    <t>SP2 / SP3</t>
  </si>
  <si>
    <t>Limpieza manual (SP2) y mecánica con herramienta eléctrica (SP3): remueven óxido suelto pero no generan perfil de anclaje.</t>
  </si>
  <si>
    <t>SP6</t>
  </si>
  <si>
    <t>Blast comercial: remueve toda cascarilla y óxido, admite sombras/manchas en ≤33% de cada área unitaria. Equivalente ISO 8501-1: Sa 2.</t>
  </si>
  <si>
    <t>Blast a metal casi blanco (near-white): admite sombras en ≤5%. Equivalente Sa 2½. El grado más especificado en estructura con sistemas de alto desempeño.</t>
  </si>
  <si>
    <t>SP5</t>
  </si>
  <si>
    <t>Blast a metal blanco: superficie 100% libre de contaminantes visibles. Equivalente Sa 3. Para servicios de inmersión o intumescentes exigentes.</t>
  </si>
  <si>
    <t>Rugosidad (altura pico-valle en µm) que el abrasivo genera en el acero para que la pintura ancle mecánicamente. Se mide con cinta réplica (Testex) o rugosímetro. Cada primario especifica un rango (típico 40–75 µm).</t>
  </si>
  <si>
    <t>ISO 8501-1</t>
  </si>
  <si>
    <t>Norma que define los grados de oxidación inicial del acero (A: cascarilla intacta … D: picaduras) y los grados de limpieza Sa. La condición inicial afecta el consumo de abrasivo.</t>
  </si>
  <si>
    <t>SSPC-PA 2</t>
  </si>
  <si>
    <t>Estándar de medición de EPS: define número de lecturas por área, promedios y tolerancias para aceptar el espesor aplicado.</t>
  </si>
  <si>
    <t>Punto de rocío</t>
  </si>
  <si>
    <t>Temperatura a la que condensa la humedad. Regla: el sustrato debe estar ≥3 °C por encima del punto de rocío para pintar o blastear; si no, se oxida instantáneo (flash rust).</t>
  </si>
  <si>
    <t>— ABRASIVOS —</t>
  </si>
  <si>
    <t>Sandblasting</t>
  </si>
  <si>
    <t>Limpieza con chorro de arena (u otro abrasivo mineral) proyectado con aire comprimido, típicamente a cielo abierto o en cuarto. El abrasivo mineral se fragmenta al impacto: un solo uso.</t>
  </si>
  <si>
    <t>Shot blasting</t>
  </si>
  <si>
    <t>Granallado con turbinas u ollas que proyectan granalla de acero; en máquinas con sistema de recuperación, la granalla recircula 150–250 ciclos y solo se repone la merma.</t>
  </si>
  <si>
    <t>Granalla shot</t>
  </si>
  <si>
    <t>Grano esférico de acero: martilla y compacta la superficie, genera perfil redondeado. Menos agresiva; buena para cascarilla.</t>
  </si>
  <si>
    <t>Granalla grit</t>
  </si>
  <si>
    <t>Grano angular de acero (o mezcla operativa shot+grit): corta y genera perfil angular más profundo, preferido para anclar primarios de alto espesor e intumescentes.</t>
  </si>
  <si>
    <t>Mezcla operativa</t>
  </si>
  <si>
    <t>Distribución de tamaños de granalla que se estabiliza en la máquina tras varios ciclos (granos nuevos + parcialmente desgastados). Determina el perfil real obtenido; se controla con reposiciones periódicas.</t>
  </si>
  <si>
    <t>Atrición</t>
  </si>
  <si>
    <t>Desgaste y fractura progresiva del grano de granalla en cada ciclo. Es el consumo "real" del shot blasting: kg repuestos por m² procesado.</t>
  </si>
  <si>
    <t>Escoria de cobre/níquel</t>
  </si>
  <si>
    <t>Abrasivo mineral sustituto de la arena sílica, sin sílice libre (menor riesgo de silicosis). Consumos similares a la arena; un solo uso o muy pocas reutilizaciones.</t>
  </si>
  <si>
    <t>NOM-010-STPS</t>
  </si>
  <si>
    <t>Norma mexicana de agentes químicos contaminantes en el trabajo: restringe el uso de arena sílica en blasteo por el riesgo de silicosis; favorece escoria o granalla.</t>
  </si>
  <si>
    <t>— IGNÍFUGOS —</t>
  </si>
  <si>
    <t>Intumescente</t>
  </si>
  <si>
    <t>Pintura que al exponerse al fuego se expande 30–50 veces formando una espuma carbonosa aislante que retrasa el calentamiento del acero.</t>
  </si>
  <si>
    <t>Hp/A (masividad)</t>
  </si>
  <si>
    <t>Relación perímetro expuesto al fuego (Hp, m) entre área de la sección (A, m²), en m⁻¹. A mayor Hp/A, más rápido se calienta el perfil y más espesor de intumescente requiere.</t>
  </si>
  <si>
    <t>R30/R60/R90/R120</t>
  </si>
  <si>
    <t>Resistencia al fuego requerida en minutos: tiempo que el acero debe mantenerse bajo su temperatura crítica (~500–620 °C).</t>
  </si>
  <si>
    <t>UL 263 / ASTM E119 / EN 13381-8</t>
  </si>
  <si>
    <t>Estándares de ensayo con los que el fabricante certifica la carta de espesores del intumescente por masividad y tiempo R.</t>
  </si>
  <si>
    <t>Temperatura crítica</t>
  </si>
  <si>
    <t>Temperatura a la que el acero pierde la capacidad portante de diseño (típicamente ~540 °C). Base del dimensionamiento de la protección.</t>
  </si>
  <si>
    <t>— PRESUPUESTO —</t>
  </si>
  <si>
    <t>APU</t>
  </si>
  <si>
    <t>Análisis de Precio Unitario: descomposición del precio por unidad (m², ton, kg) en materiales, mano de obra, equipo e indirectos. Este módulo alimenta el renglón de materiales de pintura y blasteo.</t>
  </si>
  <si>
    <t>HH/ton</t>
  </si>
  <si>
    <t>Horas-hombre por tonelada: el driver de mano de obra del motor de presupuesto de METALITEC. La pintura se presupuesta por m², no por ton — de ahí este módulo separado.</t>
  </si>
  <si>
    <t>Colchón de redondeo</t>
  </si>
  <si>
    <t>Litros o kg comprados por encima del consumo práctico, por redondear a envases/presentaciones completas. Queda como inventario o merma según manejo de almacén.</t>
  </si>
  <si>
    <t>DFT/WFT</t>
  </si>
  <si>
    <t>Siglas en inglés de EPS/EPH; aparecen así en la mayoría de los TDS.</t>
  </si>
  <si>
    <t>— ESTIMACIÓN DE ÁREA —</t>
  </si>
  <si>
    <t>Superficie específica (m²/ton)</t>
  </si>
  <si>
    <t>Metros cuadrados de superficie de acero por cada tonelada. Fórmula rápida: m²/ton ≈ 255 / espesor promedio (mm), derivada de la densidad del acero (7,850 kg/m³) y las dos caras de la lámina equivalente. Rango típico en estructura: 12–45 m²/ton.</t>
  </si>
  <si>
    <t>Espesor promedio del proyecto</t>
  </si>
  <si>
    <t>Espesor equivalente ponderado por peso de todos los perfiles y placas del proyecto, en mm. Determina la superficie específica: proyectos de perfil ligero tienen espesor promedio bajo y mucha área por tonelada.</t>
  </si>
  <si>
    <t>Área pintable</t>
  </si>
  <si>
    <t>Área total de acero MENOS las superficies que el proyecto excluye de pintura: interior de HSS cerrados, caras embebidas/en contacto con concreto, superficies de fricción de conexiones slip-critical, zonas de soldadura de campo y patines que reciben conectores de cortante.</t>
  </si>
  <si>
    <t>Superficie de fricción (slip-critical)</t>
  </si>
  <si>
    <t>Cara de contacto de una conexión atornillada que trabaja por fricción: debe entregarse sin pintura o con recubrimiento certificado clase A/B (RCSC). Pintarla con el sistema normal es una no conformidad.</t>
  </si>
  <si>
    <t>— CONDICIÓN INICIAL DEL ACERO —</t>
  </si>
  <si>
    <t>Grados A/B/C/D (ISO 8501-1)</t>
  </si>
  <si>
    <t>Condición inicial del acero antes de blastear: A = calamina intacta (acero nuevo), B = calamina desprendiéndose, C = óxido general sin picaduras visibles, D = óxido con picaduras. Determina el consumo de abrasivo (multiplicadores de la Tabla F en 7_ABRASIVO) y puede alterar el perfil de anclaje real.</t>
  </si>
  <si>
    <t>Calamina (cascarilla de laminación)</t>
  </si>
  <si>
    <t>Capa dura de óxidos que se forma sobre el perfil durante el laminado en caliente. Está bien adherida pero tarde o temprano se desprende: pintar sobre ella es falla segura. Removerla exige granalla angular y más consumo que un óxido ligero.</t>
  </si>
  <si>
    <t>Picadura (pitting)</t>
  </si>
  <si>
    <t>Cavidad puntual dejada por la corrosión en acero viejo. Encarece el blasteo (limpiar el fondo de cada hoyo), genera rugosidad extra que aumenta el volumen muerto del primario, y puede requerir tratamiento adicional acordado con el cliente.</t>
  </si>
  <si>
    <t>Acero surface tolerant</t>
  </si>
  <si>
    <t>Recubrimiento formulado para tolerar preparación de superficie limitada o sustratos irregulares (acero viejo picado); alternativa cuando no es viable llegar al grado SP especificado en rehabilitaciones.</t>
  </si>
  <si>
    <t>CONCEPTOS EXPLICADOS EN LENGUAJE SENCILLO</t>
  </si>
  <si>
    <t>Explicaciones pensadas para todo el equipo: aplicadores, supervisores, compras y ventas. No hace falta ser ingeniero para entenderlas.</t>
  </si>
  <si>
    <t>— LO BÁSICO —</t>
  </si>
  <si>
    <t>¿Qué es el factor de forma?</t>
  </si>
  <si>
    <t>Imagine que pinta una pared con un aspersor: casi toda la pintura cae en la pared. Ahora imagine pintar la reja del jardín con el mismo aspersor: gran parte de la pintura pasa entre los barrotes y se pierde en el aire. Eso es el factor de forma: qué tanto de la pintura que sale de la pistola realmente cae sobre la pieza, según su geometría. Una placa ancha aprovecha casi todo (perdemos ~5%); una celosía o armadura, que es puro hueco, desperdicia hasta el 40%. Por eso es lo primero que preguntamos al presupuestar: no cuesta lo mismo pintar 100 m² de placa que 100 m² de celosía, aunque el área sea la misma.</t>
  </si>
  <si>
    <t>¿Por qué importa para el desperdicio?</t>
  </si>
  <si>
    <t>Porque el desperdicio por forma es el más grande de todos y no se puede eliminar: es física, no descuido del pintor. Si lo ignoramos, compramos menos pintura de la necesaria (paros y compras de emergencia) o cotizamos barato y perdemos dinero. Al clasificar cada pieza por su forma (F1 a F7 en la hoja 3_FACTORES), el desperdicio queda calculado y defendible ante el cliente.</t>
  </si>
  <si>
    <t>Limpieza vs. perfil de anclaje: no son lo mismo</t>
  </si>
  <si>
    <t>La LIMPIEZA es qué tan libre de óxido, cascarilla y suciedad queda el acero: se ve a simple vista y se compara contra fotos patrón (SP6, SP10, SP5). El PERFIL DE ANCLAJE es la rugosidad que el chorro de abrasivo deja en el metal: pequeños picos y valles, como una lija, que no se aprecian a ojo — se miden con una cinta especial (Testex) en micras. Son dos requisitos distintos: puede tener el acero limpísimo pero liso (la pintura no agarra y se desprende), o rugoso pero sucio (la pintura agarra sobre el óxido y falla igual). El proyecto siempre pide los DOS: por ejemplo "SP10 con perfil de 50–75 µm".</t>
  </si>
  <si>
    <t>¿Qué es un mils?</t>
  </si>
  <si>
    <t>Es una unidad de espesor usada en Estados Unidos: una milésima de pulgada. Como muchas hojas técnicas vienen en mils y otras en micras, hay que saber convertir: 1 mils = 25.4 micras (µm). Regla rápida: mils × 25 ≈ micras. Ejemplo: un primario de 3 mils son ~75 µm; un sistema de 8 mils son ~200 µm. Para referencia, una hoja de papel tiene ~100 µm (4 mils): un sistema de pintura completo es como dos hojas de papel de grueso.</t>
  </si>
  <si>
    <t>¿Qué es una pintura epóxica?</t>
  </si>
  <si>
    <t>Es una pintura de dos componentes: la pintura (parte A) y un catalizador o endurecedor (parte B). Por separado no sirven; al mezclarlos empieza una reacción química que forma una película muy dura, muy adherida y muy resistente a químicos y humedad — como una resina. Por eso se usa como capa intermedia de barrera en el acero. Sus dos debilidades: se degrada con el sol (por eso encima lleva poliuretano) y una vez mezclada tiene tiempo de vida limitado (pot-life): lo que no se aplique a tiempo, se endurece en el bote y se tira.</t>
  </si>
  <si>
    <t>— PELÍCULA Y ESPESORES —</t>
  </si>
  <si>
    <t>Película húmeda vs. película seca</t>
  </si>
  <si>
    <t>La película HÚMEDA (EPH o WFT) es el espesor de la pintura recién aplicada, todavía mojada: se mide en el momento con un "peine" metálico. La película SECA (EPS o DFT) es lo que queda cuando los solventes se evaporan: se mide con un aparato magnético al día siguiente. La húmeda siempre es más gruesa, porque parte del volumen es solvente que se va al aire. La relación es: espesor seco = espesor húmedo × % de sólidos. Ejemplo: si la pintura tiene 60% de sólidos y aplico 125 µm húmedas, quedarán 75 µm secas. El pintor controla con el peine EN EL MOMENTO (todavía puede corregir); el inspector mide la seca DESPUÉS (ya no hay corrección barata). Por eso el peine ahorra dinero.</t>
  </si>
  <si>
    <t>Conversión micra ↔ mils</t>
  </si>
  <si>
    <t>1 mils = 25.4 µm  |  1 µm = 0.0394 mils. Ejemplos: 2 mils = 50.8 µm | 3 mils = 76.2 µm | 5 mils = 127 µm | 10 mils = 254 µm. Truco de campo: para pasar de mils a micras, multiplique por 25 y súmele "un poquito"; para pasar de micras a mils, divida entre 25.</t>
  </si>
  <si>
    <t>— TIEMPOS DE LA PINTURA —</t>
  </si>
  <si>
    <t>Tiempo de secado</t>
  </si>
  <si>
    <t>Cuánto tarda la pintura en dejar de estar pegajosa. La hoja técnica da varios: "seco al tacto" (se puede tocar sin marcar), "seco para manejo" (se puede mover la pieza sin dañarla) y "curado total" (alcanzó toda su dureza; en epóxicos puede tomar 7 días). Importa para producción: mover una pieza antes del "seco para manejo" deja huellas y obliga a retocar = más pintura y más horas.</t>
  </si>
  <si>
    <t>Pot-life (vida útil de la mezcla)</t>
  </si>
  <si>
    <t>En pinturas de dos componentes, es el tiempo que tiene para APLICAR la mezcla desde que junta la parte A con la B. Puede ser de 1 a 8 horas según el producto y el calor (a más calor, menos tiempo). Pasado ese tiempo, la pintura se espesa y ya no sirve aunque se vea líquida: aplicarla es garantía de falla. Regla de oro: mezclar solo lo que se va a aplicar. Cada bote mezclado que se queda sin aplicar es dinero directo a la basura — es uno de los desperdicios más comunes y más evitables.</t>
  </si>
  <si>
    <t>Tiempo de repintado</t>
  </si>
  <si>
    <t>Es la ventana para aplicar la siguiente capa: un MÍNIMO (antes de ese tiempo la capa de abajo está muy fresca y la nueva la arruga) y un MÁXIMO (después de ese tiempo la capa de abajo quedó tan dura y lisa que la nueva no agarra; hay que lijarla primero). Pasarse del máximo cuesta caro: lijar toda la superficie es horas-hombre y consumibles no presupuestados. Planear la secuencia de capas respetando estas ventanas es tarea del supervisor.</t>
  </si>
  <si>
    <t>Limpiador de máquina vs. diluyente: no los confunda</t>
  </si>
  <si>
    <t>El DILUYENTE (thinner de aplicación) es el solvente específico que la hoja técnica autoriza para ajustar la viscosidad de la pintura y que atomice mejor: se agrega en poca cantidad (típico 5–10%) y DEBE ser el que indica el fabricante — usar otro puede arruinar la pintura. El LIMPIADOR (solvente de limpieza o flush) es más barato y agresivo: sirve para lavar bomba, mangueras y pistola al terminar o al cambiar de producto, y NUNCA debe mezclarse con la pintura. Usar limpiador como diluyente "porque es más barato" produce cráteres, mala adherencia y reclamos. Son dos garrafas distintas, con dos usos distintos.</t>
  </si>
  <si>
    <t>— EQUIPOS Y APLICACIÓN —</t>
  </si>
  <si>
    <t>Airless normal vs. equipo plural (tipo Graco XM/XP)</t>
  </si>
  <si>
    <t>Un AIRLESS normal bombea pintura ya mezclada a alta presión: usted junta la parte A y la B en un bote, y desde ese momento corre el pot-life. Todo lo que quede en el bote, la bomba y las mangueras al agotarse el tiempo, se tira, y hay que lavar el equipo con solvente cada vez. Un equipo PLURAL (dos componentes, como los Graco XM o XP) bombea la parte A y la parte B por mangueras SEPARADAS y las mezcla apenas unos centímetros antes de la pistola: la pintura mezclada que existe en el sistema es mínima. Resultado: prácticamente se elimina el desperdicio por pot-life, se reduce el solvente de lavado (solo se lava el tramo corto mezclado) y la proporción de mezcla es exacta siempre (sin errores humanos de dosificación). El ahorro típico en material está entre 10% y 20% del consumo, más el ahorro en solvente (hasta 70–80% menos) — y es mayor cuanto más caro es el producto y más arranques/paros tiene la jornada. En intumescentes y epóxicos de pot-life corto, el plural puede ser la diferencia entre ganar o perder dinero en la partida. Contra: inversión y mantenimiento del equipo más altos, y requiere operador capacitado.</t>
  </si>
  <si>
    <t>¿Por qué importa usar la boquilla correcta?</t>
  </si>
  <si>
    <t>La boquilla (tip) de la pistola define dos cosas: el ANCHO del abanico y el CAUDAL de pintura. Si el abanico es más ancho que la pieza (ej. abanico de 30 cm para pintar un ángulo de 7 cm), la mayoría de la pintura pasa de largo: puro desperdicio. Si el orificio es más grande de lo que pide la hoja técnica, sale más pintura de la que la superficie puede recibir: chorreos, espesores excedidos (que también son desperdicio: cada micra de más es pintura pagada que el cliente no pidió) y repasos. Además, una boquilla DESGASTADA agranda su orificio y deforma el abanico: un tip gastado puede aumentar el consumo 20–30% sin que nadie lo note. Regla práctica: abanico angosto para piezas angostas, abanico ancho para placas; y cambiar el tip cuando el abanico "hace colas" o el patrón se redondea. Es la pieza más barata del equipo y la que más pintura puede ahorrar.</t>
  </si>
  <si>
    <t>Resistencia mecánica de la pintura</t>
  </si>
  <si>
    <t>Es la capacidad de la película para aguantar golpes, abrasión (roce), rayado y flexión sin desprenderse ni agrietarse. Se vuelve importante cuando la pieza va a sufrir maltrato: transporte al sitio (estiba, cadenas, eslingas), montaje (maniobras, tornilleo, caminado sobre las piezas) y servicio (pisos, zonas de tráfico, impacto de material). Si el sistema es "bonito pero blandito", llegará rayado a obra y el retoque en campo cuesta 3–5 veces más que pintar en taller. Al elegir el sistema hay que preguntar: ¿cuánto va a viajar y cuánto la van a golpear? En piezas de mucho manejo conviene un intermedio epóxico de alto espesor y programar el acabado final en obra, o proteger los apoyos con separadores de madera/hule al estibar.</t>
  </si>
  <si>
    <t>— PINTURA IGNÍFUGA (INTUMESCENTE) —</t>
  </si>
  <si>
    <t>¿Qué significa el "rating" (R30, R60, R90, R120)?</t>
  </si>
  <si>
    <t>Es el tiempo, en MINUTOS, que la protección debe mantener el acero por debajo de su temperatura de falla durante un incendio: R60 = 60 minutos de resistencia. Lo fija el reglamento de construcción y el proyecto según el uso del edificio (más gente y más pisos = más minutos). No es una calidad de la pintura en sí: es una exigencia que se cumple con ESPESOR. El mismo producto puede dar R30 con una capa delgada o R120 con una capa muy gruesa.</t>
  </si>
  <si>
    <t>¿Cómo influye el rating en la cantidad de pintura a pedir?</t>
  </si>
  <si>
    <t>Directamente y de forma brutal: a más minutos de rating, más espesor, y el espesor de intumescente no crece de a poquito — se multiplica. Además influye la "masividad" (Hp/A): los perfiles flacos se calientan rápido y piden aún más espesor que los robustos. Como referencia general (SIEMPRE validar contra la carta certificada del fabricante): R30 pide del orden de 250–650 µm; R60 entre 450–1,700 µm; R90 entre 900–3,500 µm; y R120 entre 1,500–6,000 µm, según qué tan esbelto sea el perfil. Compare: un sistema anticorrosivo completo son ~275 µm. Un R90 puede llevar DIEZ VECES más película que todo el sistema de pintura normal — por eso una partida con ignífugo puede costar más en pintura que toda la estructura junta, y por eso el modelo pide el Hp/A de cada perfil en la hoja 6_IGNIFUGO en lugar de usar un promedio.</t>
  </si>
  <si>
    <t>¿En qué se diferencia aplicar intumescente vs. pintura normal?</t>
  </si>
  <si>
    <t>Con una pintura convencional o epóxica usted aplica 1 pasada de 50–125 µm y listo. Con el intumescente está construyendo una capa hasta 40 veces más gruesa: se aplica en VARIAS pasadas (cada una de máximo 400–800 µm húmedas, porque más se descuelga), esperando el secado entre pasada y pasada — proteger una columna a R90 puede tomar varios días de calendario. Exige medir el espesor pasada por pasada y registrarlo (el inspector lo pide para liberar), condiciones controladas (los de base agua no toleran lluvia ni frío antes de curar), un primario específico aprobado por el fabricante (no cualquier primario sirve) y muchas veces un sellador de acabado encima si va al exterior. En resumen: más pasadas, más control, más tiempo de ocupación de la cabina y más desperdicio — por eso la Tabla D le carga un recargo adicional del 12% que la pintura normal no lleva.</t>
  </si>
  <si>
    <t>— ESTIMACIÓN RÁPIDA DE ÁREA —</t>
  </si>
  <si>
    <t>¿Cómo estimo los m² a pintar cuando solo tengo el tonelaje?</t>
  </si>
  <si>
    <t>Con el "espesor promedio" del acero del proyecto. La idea es sencilla: el acero pesa 7,850 kg por m³. Si imagina todo el acero del proyecto como una gran lámina de espesor promedio "e", esa lámina tiene dos caras que se pintan. De ahí sale la fórmula rápida:  m² por tonelada ≈ 255 ÷ espesor promedio (en mm).  Ejemplos: perfiles ligeros de 6 mm → 255/6 ≈ 42 m²/ton; estructura mediana de 10 mm → 25 m²/ton; estructura pesada de 20 mm → 13 m²/ton; placas gruesas de 50 mm → 5 m²/ton. Regla nemotécnica: acero flaco = mucha área por tonelada; acero gordo = poca área por tonelada. El espesor promedio del proyecto se estima ponderando: si el 70% del peso son perfiles de 9 mm y el 30% placas de 25 mm, e ≈ 0.7×9 + 0.3×25 ≈ 14 mm → 18 m²/ton.</t>
  </si>
  <si>
    <t>Área pintable vs. área total: no pinte lo que no se pinta</t>
  </si>
  <si>
    <t>La fórmula da el área TOTAL de acero, pero no todo se pinta. Hay que descontar el área NO PINTABLE: el interior de los tubos HSS cerrados (no se pinta ni se puede), las caras que quedarán embebidas o en contacto con concreto (normalmente se dejan sin pintar por adherencia), las superficies de contacto de conexiones de deslizamiento crítico (el proyecto las exige SIN pintura o con pintura certificada de fricción clase A/B), el patín superior de vigas que recibirá conectores de cortante y losa, y las caras de empalme que se sueldan en campo (se dejan sin pintar 50–100 mm alrededor de la soldadura). Según el tipo de estructura, esto puede ser del 5% al 20% del área total. El modelo lo maneja con un "% no pintable" por familia que usted calibra.</t>
  </si>
  <si>
    <t>¿Para qué comparar el estimado contra el área real?</t>
  </si>
  <si>
    <t>Es un control de calidad del presupuesto. El estimado por tonelaje (rápido, para cotizar cuando aún no hay modelo) y el área real medida del modelo Tekla/IFC (exacta, cuando ya existe) deberían parecerse. Si difieren mucho —más de ±15% es la alarma típica— algo está mal: o el espesor promedio que supuso no corresponde al proyecto, o el reporte de áreas del modelo trae superficies no pintables incluidas (interiores de HSS, caras de contacto), o hay piezas duplicadas/faltantes en el listado. La hoja 12_ESTIMACION hace esa comparación por familia y enciende la alerta para que se reevalúen las áreas ANTES de comprar pintura o firmar la oferta. Comprar con un área inflada 20% es regalar cuñetes; cotizar con un área corta 20% es perder dinero.</t>
  </si>
  <si>
    <t>— ACERO NUEVO VS. ACERO VIEJO —</t>
  </si>
  <si>
    <t>¿Gasta lo mismo blastear acero nuevo que viejo?</t>
  </si>
  <si>
    <t>No, y la diferencia es grande. La norma ISO 8501-1 clasifica cómo llega el acero en cuatro grados: A (nuevo, con la cascarilla de laminación —calamina— completa y pegada), B (nuevo pero intemperizado: la calamina empieza a soltarse), C (viejo: el óxido ya se comió la calamina) y D (viejo y picado: la corrosión dejó hoyitos —picaduras— en toda la superficie). Lo curioso: el acero A, aunque es "nuevo", NO es el más barato de blastear — la calamina es dura como vidrio y arrancarla consume ~30% más abrasivo, y además pide granalla angular (grit), porque la esférica (shot) solo la pule sin cortarla. El más barato es el B (la condición típica del perfil comercial). El C consume ~40% más por el óxido que amortigua el impacto y ensucia la granalla. Y el D casi duplica el consumo: hay que sacar el óxido del fondo de cada picadura. Por eso el modelo pregunta la condición (columna O de 7_ABRASIVO) antes de calcular el abrasivo.</t>
  </si>
  <si>
    <t>¿Y afecta también al perfil de anclaje?</t>
  </si>
  <si>
    <t>Sí, en dos sentidos opuestos. Con acero A: si no se corta la calamina por completo, el perfil que se mide está sobre la cascarilla, no sobre el metal — y esa cascarilla se desprenderá después llevándose la pintura; hay que asegurar que el abrasivo llegue al metal base. Con acero D: las picaduras ya traen su propia rugosidad, que muchas veces es MAYOR que el perfil especificado. Eso no es gratis: un perfil más profundo significa más volumen muerto, o sea que la primera capa de primario consume más pintura para rellenar los valles (por eso en acero picado conviene usar R3/R4 en la Tabla C y medir el perfil real con cinta Testex, no asumir el de la especificación). En resumen: la condición inicial del acero mueve DOS renglones del presupuesto a la vez — el abrasivo y el primario.</t>
  </si>
  <si>
    <t>LISTADO DE PIEZAS — ÁREA Y PESO POR PIEZA Y FAMILIA</t>
  </si>
  <si>
    <t>Pegue aquí el reporte de Tekla / IFC (marca, familia, cantidad, área y peso unitarios). Si tiene el archivo de exportación (Excel, CSV o IFC), Claude puede leerlo y llenar esta tabla por usted. El costo de aplicación por pieza se toma del APU de su familia (hoja 11_APU).</t>
  </si>
  <si>
    <t>Marca / Pieza</t>
  </si>
  <si>
    <t>Familia</t>
  </si>
  <si>
    <t>Cant</t>
  </si>
  <si>
    <t>Área unit (m²)</t>
  </si>
  <si>
    <t>Peso unit (kg)</t>
  </si>
  <si>
    <t>Área total (m²)</t>
  </si>
  <si>
    <t>$/m² aplicado (familia)</t>
  </si>
  <si>
    <t>Costo pintura pieza ($)</t>
  </si>
  <si>
    <t>$/kg pieza</t>
  </si>
  <si>
    <t>C-101</t>
  </si>
  <si>
    <t>Columna W12x65 h=6.0 m</t>
  </si>
  <si>
    <t>COLUMNA</t>
  </si>
  <si>
    <t>C-201</t>
  </si>
  <si>
    <t>Columna W14x90 ignífuga</t>
  </si>
  <si>
    <t>V-301</t>
  </si>
  <si>
    <t>Viga W24x76 L=9.0 m</t>
  </si>
  <si>
    <t>VIGA</t>
  </si>
  <si>
    <t>V-401</t>
  </si>
  <si>
    <t>Viga W16x40 L=7.5 m</t>
  </si>
  <si>
    <t>A-501</t>
  </si>
  <si>
    <t>Armadura cubierta 18 m</t>
  </si>
  <si>
    <t>CELOSIA</t>
  </si>
  <si>
    <t>CV-601</t>
  </si>
  <si>
    <t>Contraventeo HSS 4x4</t>
  </si>
  <si>
    <t>CONTRAVENTEO</t>
  </si>
  <si>
    <t>ESC-701</t>
  </si>
  <si>
    <t>Escalera marina + guarda</t>
  </si>
  <si>
    <t>MISCELANEO</t>
  </si>
  <si>
    <t>PL-801</t>
  </si>
  <si>
    <t>Placas base 50 mm</t>
  </si>
  <si>
    <t>PLACA</t>
  </si>
  <si>
    <t>APU — ANÁLISIS DE PRECIO UNITARIO DE PINTURA POR FAMILIA (POR m² O POR kg)</t>
  </si>
  <si>
    <t>El APU descompone el costo de la aplicación de pintura en materiales, mano de obra, equipo e indirectos. Elija la UNIDAD de venta por familia (m² o kg): el PU final sale en esa unidad. La conversión m²↔kg usa el ratio real de las piezas capturadas en 10_PIEZAS.</t>
  </si>
  <si>
    <t>Referencia sugerida material (proyecto completo):</t>
  </si>
  <si>
    <t>$/m² pintura</t>
  </si>
  <si>
    <t>$/m² abrasivo</t>
  </si>
  <si>
    <t>Cópielas como punto de partida en las columnas azules E y F, y ajuste por familia.</t>
  </si>
  <si>
    <t>Unidad (m2/kg)</t>
  </si>
  <si>
    <t>Peso (kg)</t>
  </si>
  <si>
    <t>kg/m²</t>
  </si>
  <si>
    <t>Mat. pintura ($/m²)</t>
  </si>
  <si>
    <t>Abrasivo ($/m²)</t>
  </si>
  <si>
    <t>MO (HH/m²)</t>
  </si>
  <si>
    <t>Tarifa ($/HH)</t>
  </si>
  <si>
    <t>MO ($/m²)</t>
  </si>
  <si>
    <t>Equipo ($/m²)</t>
  </si>
  <si>
    <t>Subtotal ($/m²)</t>
  </si>
  <si>
    <t>% Indir.+ Util.</t>
  </si>
  <si>
    <t>PU ($/m²)</t>
  </si>
  <si>
    <t>PU ($/kg)</t>
  </si>
  <si>
    <t>PU EN UNIDAD ELEGIDA</t>
  </si>
  <si>
    <t>m2</t>
  </si>
  <si>
    <t>kg</t>
  </si>
  <si>
    <t>Notas: MO (HH/m²) incluye blasteo manual/carga de máquina + aplicación + retoques; calíbrela con los HH reales de planta por familia (misma lógica HH/ton del motor de presupuesto, pero en m²). "Equipo" = depreciación/renta de granalladora, compresor, equipo airless o plural, prorrateada por m². "% Indir.+Util." = indirectos de planta + utilidad según política comercial vigente. El PU por kg divide el PU por m² entre el ratio kg/m² real de la familia: por eso una celosía (poca masa, mucha área) es cara por kg y una placa es barata por kg.</t>
  </si>
  <si>
    <t>ESTIMACIÓN DE m² PINTABLES POR ESPESOR PROMEDIO vs. ÁREA REAL DEL MODELO</t>
  </si>
  <si>
    <t>Método: m²/ton ≈ 255 / espesor promedio (mm), menos el % de área no pintable. El peso por familia viene de 10_PIEZAS. Si la diferencia contra el área real del modelo supera la tolerancia, la fila enciende REEVALUAR: revise espesor promedio supuesto, superficies no pintables incluidas en el reporte del modelo, o piezas duplicadas/faltantes.</t>
  </si>
  <si>
    <t>Tolerancia de alerta (±):</t>
  </si>
  <si>
    <t>Diferencias mayores a esta tolerancia (en cualquier sentido) marcan REEVALUAR.</t>
  </si>
  <si>
    <t>Peso (ton)</t>
  </si>
  <si>
    <t>Espesor prom. (mm)</t>
  </si>
  <si>
    <t>m²/ton (=255/e)</t>
  </si>
  <si>
    <t>% área NO pintable</t>
  </si>
  <si>
    <t>m² estimados pintables</t>
  </si>
  <si>
    <t>m² reales (modelo)</t>
  </si>
  <si>
    <t>Diferencia (m²)</t>
  </si>
  <si>
    <t>Dif. (%)</t>
  </si>
  <si>
    <t>Veredicto</t>
  </si>
  <si>
    <t>Guía de revisión si marca REEVALUAR</t>
  </si>
  <si>
    <t>Caras embebidas en dados/placas base; zonas sin pintar de empalmes de campo.</t>
  </si>
  <si>
    <t>Patín superior con conectores de cortante bajo losa; superficies slip-critical.</t>
  </si>
  <si>
    <t>Cuerdas/diagonales casi todo pintable; verificar que el modelo no duplique caras de placas de nudo.</t>
  </si>
  <si>
    <t>HSS cerrados: el interior NO es pintable — verifique que el reporte del modelo no lo incluya.</t>
  </si>
  <si>
    <t>Escaleras/barandal casi todo pintable; rejilla galvanizada NO se pinta (excluirla del listado).</t>
  </si>
  <si>
    <t>Caras de contacto con concreto y superficies de fricción de conexiones: usualmente sin pintura.</t>
  </si>
  <si>
    <t>Uso en dos momentos: (1) EN COTIZACIÓN, cuando aún no hay modelo: use solo las columnas de estimación (capture el peso estimado directamente si no hay piezas en 10_PIEZAS) para dimensionar pintura y abrasivo. (2) EN INGENIERÍA, cuando llega el modelo Tekla/IFC: llene 10_PIEZAS con el reporte de áreas PINTABLES y esta hoja valida automáticamente. Recuerde: el reporte estándar de Tekla suele traer área TOTAL de las piezas; pida el reporte con las caras no pintables excluidas o descuéntelas con la columna F.</t>
  </si>
  <si>
    <t>INTERFAZ PARA EL MOTOR IFC / MOTOR DE PRESUPUESTO (lectura y escritura programática)</t>
  </si>
  <si>
    <t>Contrato de datos para integrar este módulo al Motor Generador IFC (ifcopenshell / Python / n8n / Claude API): el motor ESCRIBE en los rangos de entrada y LEE las salidas del bloque OUTPUT (columna C, siempre valores tras recalcular). Recalcular con LibreOffice headless o abrir/guardar en Excel antes de leer. Los nombres definidos (OUT_*) permiten leer sin depender de la posición de celda.</t>
  </si>
  <si>
    <t>RANGOS DE ENTRADA (el motor escribe aquí)</t>
  </si>
  <si>
    <t>Campo</t>
  </si>
  <si>
    <t>Rango destino</t>
  </si>
  <si>
    <t>Dir.</t>
  </si>
  <si>
    <t>Contenido esperado</t>
  </si>
  <si>
    <t>Catálogo de productos (TDS)</t>
  </si>
  <si>
    <t>'2_HOJA_TECNICA'!B6:L13</t>
  </si>
  <si>
    <t>IN</t>
  </si>
  <si>
    <t>Por fila: ID, nombre, fabricante, tipo, %SV (decimal), EPS min/recom/max (µm), litros por cuñete, intumescente (SI/NO), precio por cuñete. Máx. 8 productos.</t>
  </si>
  <si>
    <t>Listado de piezas (del IFC)</t>
  </si>
  <si>
    <t>'10_PIEZAS'!B6:G35</t>
  </si>
  <si>
    <t>Por fila: marca, descripción, familia (COLUMNA/VIGA/CELOSIA/CONTRAVENTEO/MISCELANEO/PLACA), cantidad, área pintable unitaria (m²), peso unitario (kg). Del reporte ifcopenshell: excluir caras no pintables antes de escribir.</t>
  </si>
  <si>
    <t>Partidas de pintura por capa</t>
  </si>
  <si>
    <t>'4_CALCULO'!B6:K25</t>
  </si>
  <si>
    <t>Por fila: partida, descripción, área (m²), forma F1-F7, ambiente A1-A6, perfil R0-R4, n° capa, ID producto, EPS de la capa (µm), franjeo SI/NO. Intumescente: escribir 2 filas (planta=A1, sitio=A4/A6) repartiendo el EPS.</t>
  </si>
  <si>
    <t>Partidas de abrasivo</t>
  </si>
  <si>
    <t>'7_ABRASIVO'!B14:F28 + O14:O28</t>
  </si>
  <si>
    <t>Por fila: partida, descripción, área (m²), abrasivo AB1-AB3, grado SP6/SP10/SP5; y en col O la condición inicial del acero A/B/C/D (vacío = B). Del IFC/inspección de patio.</t>
  </si>
  <si>
    <t>Espesor promedio y % no pintable</t>
  </si>
  <si>
    <t>'12_ESTIMACION'!D8:F13</t>
  </si>
  <si>
    <t>Por familia: espesor promedio (mm) en col D y % no pintable (decimal) en col F. Solo necesario en modo estimación sin modelo.</t>
  </si>
  <si>
    <t>Precios de abrasivo</t>
  </si>
  <si>
    <t>'7_ABRASIVO'!I7:J9</t>
  </si>
  <si>
    <t>Presentación (kg) y precio ($) por tipo de abrasivo.</t>
  </si>
  <si>
    <t>Parámetros APU por familia</t>
  </si>
  <si>
    <t>'11_APU'!C7:N12</t>
  </si>
  <si>
    <t>Unidad (m2/kg), material $/m², abrasivo $/m², HH/m², tarifa, equipo $/m², % indirectos. No escribir columnas D,E,F,K,M,O,P,Q (fórmulas).</t>
  </si>
  <si>
    <t>BLOQUE OUTPUT (el motor lee la columna C; nombres definidos entre paréntesis)</t>
  </si>
  <si>
    <t>Salida</t>
  </si>
  <si>
    <t>Unidad</t>
  </si>
  <si>
    <t>Nombre definido</t>
  </si>
  <si>
    <t>Área pintable total</t>
  </si>
  <si>
    <t>m²</t>
  </si>
  <si>
    <t>OUT_AREA_M2</t>
  </si>
  <si>
    <t>Peso total</t>
  </si>
  <si>
    <t>OUT_PESO_KG</t>
  </si>
  <si>
    <t>Litros teóricos de pintura</t>
  </si>
  <si>
    <t>L</t>
  </si>
  <si>
    <t>OUT_LITROS_TEORICOS</t>
  </si>
  <si>
    <t>Litros prácticos de pintura</t>
  </si>
  <si>
    <t>OUT_LITROS_PRACTICOS</t>
  </si>
  <si>
    <t>Litros de desperdicio</t>
  </si>
  <si>
    <t>OUT_LITROS_DESPERDICIO</t>
  </si>
  <si>
    <t>Cuñetes totales a comprar</t>
  </si>
  <si>
    <t>pza</t>
  </si>
  <si>
    <t>OUT_CUNETES</t>
  </si>
  <si>
    <t>Costo compra pintura</t>
  </si>
  <si>
    <t>$</t>
  </si>
  <si>
    <t>OUT_COSTO_PINTURA</t>
  </si>
  <si>
    <t>Kg de abrasivo a comprar</t>
  </si>
  <si>
    <t>OUT_KG_ABRASIVO</t>
  </si>
  <si>
    <t>Costo compra abrasivo</t>
  </si>
  <si>
    <t>OUT_COSTO_ABRASIVO</t>
  </si>
  <si>
    <t>Costo total de aplicación (APU)</t>
  </si>
  <si>
    <t>OUT_COSTO_APLICACION</t>
  </si>
  <si>
    <t>Costo promedio por m²</t>
  </si>
  <si>
    <t>$/m²</t>
  </si>
  <si>
    <t>OUT_COSTO_M2</t>
  </si>
  <si>
    <t>Costo promedio por kg</t>
  </si>
  <si>
    <t>$/kg</t>
  </si>
  <si>
    <t>OUT_COSTO_KG</t>
  </si>
  <si>
    <t>Familias con alerta de área</t>
  </si>
  <si>
    <t>n</t>
  </si>
  <si>
    <t>OUT_ALERTAS_AREA</t>
  </si>
  <si>
    <t>PU POR FAMILIA (para el APU del presupuesto general)</t>
  </si>
  <si>
    <t>PU en unidad elegida</t>
  </si>
  <si>
    <t>OUT_PU_COLUMNA</t>
  </si>
  <si>
    <t>OUT_PU_VIGA</t>
  </si>
  <si>
    <t>OUT_PU_CELOSIA</t>
  </si>
  <si>
    <t>OUT_PU_CONTRAVENTEO</t>
  </si>
  <si>
    <t>OUT_PU_MISCELANEO</t>
  </si>
  <si>
    <t>OUT_PU_PLACA</t>
  </si>
  <si>
    <t>Ejemplo de lectura en Python (openpyxl):  wb = load_workbook(ruta, data_only=True);  litros = wb.defined_names["OUT_LITROS_PRACTICOS"] → destino → celda.value.  Ejemplo de escritura: escribir directamente en los rangos IN, guardar, recalcular con "soffice --headless --convert-to xlsx" o con el script recalc del motor, y volver a leer los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</si>
</sst>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
    <numFmt numFmtId="167" formatCode="0.000"/>
    <numFmt numFmtId="168" formatCode="0.0000"/>
  </numFmts>
  <fonts count="10" x14ac:knownFonts="1">
    <font>
      <sz val="11"/>
      <color theme="1"/>
      <name val="Calibri"/>
      <family val="2"/>
      <charset val="1"/>
    </font>
    <font>
      <b/>
      <sz val="14"/>
      <color rgb="FFFFFFFF"/>
      <name val="Arial"/>
      <charset val="1"/>
    </font>
    <font>
      <sz val="10"/>
      <name val="Arial"/>
      <charset val="1"/>
    </font>
    <font>
      <b/>
      <sz val="11"/>
      <color rgb="FFFFFFFF"/>
      <name val="Arial"/>
      <charset val="1"/>
    </font>
    <font>
      <b/>
      <sz val="10"/>
      <color rgb="FF1F4E79"/>
      <name val="Arial"/>
      <charset val="1"/>
    </font>
    <font>
      <b/>
      <sz val="10"/>
      <name val="Arial"/>
      <charset val="1"/>
    </font>
    <font>
      <b/>
      <sz val="10"/>
      <color rgb="FFFFFFFF"/>
      <name val="Arial"/>
      <charset val="1"/>
    </font>
    <font>
      <sz val="11"/>
      <color rgb="FF000000"/>
      <name val="Arial"/>
      <charset val="1"/>
    </font>
    <font>
      <sz val="11"/>
      <color rgb="FF0000FF"/>
      <name val="Arial"/>
      <charset val="1"/>
    </font>
    <font>
      <sz val="11"/>
      <color rgb="FF008000"/>
      <name val="Arial"/>
      <charset val="1"/>
    </font>
  </fonts>
  <fills count="7">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9E2F3"/>
        <bgColor rgb="FFFCE4D6"/>
      </patternFill>
    </fill>
    <fill>
      <patternFill patternType="solid">
        <fgColor rgb="FFFCE4D6"/>
        <bgColor rgb="FFD9E2F3"/>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7">
    <xf numFmtId="0" fontId="0" fillId="0" borderId="0" xfId="0"/>
    <xf numFmtId="165" fontId="8" fillId="6" borderId="1" xfId="0" applyNumberFormat="1" applyFont="1" applyFill="1" applyBorder="1" applyAlignment="1">
      <alignment vertical="center"/>
    </xf>
    <xf numFmtId="0" fontId="2" fillId="6" borderId="0" xfId="0" applyFont="1" applyFill="1" applyAlignment="1">
      <alignment horizontal="left" vertical="center" wrapText="1"/>
    </xf>
    <xf numFmtId="0" fontId="5" fillId="6" borderId="0" xfId="0" applyFont="1" applyFill="1" applyAlignment="1">
      <alignment horizontal="left" vertical="center" wrapText="1"/>
    </xf>
    <xf numFmtId="166" fontId="9"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Alignment="1">
      <alignment horizontal="left" vertical="center" wrapText="1"/>
    </xf>
    <xf numFmtId="0" fontId="5" fillId="4" borderId="0" xfId="0" applyFont="1" applyFill="1" applyAlignment="1">
      <alignment horizontal="left" vertical="center" wrapText="1"/>
    </xf>
    <xf numFmtId="0" fontId="5" fillId="6" borderId="0" xfId="0" applyFont="1" applyFill="1" applyAlignment="1">
      <alignment horizontal="left" vertical="top" wrapText="1"/>
    </xf>
    <xf numFmtId="0" fontId="3" fillId="3" borderId="0" xfId="0" applyFont="1" applyFill="1" applyAlignment="1">
      <alignment horizontal="left" vertical="center"/>
    </xf>
    <xf numFmtId="0" fontId="2" fillId="0" borderId="0" xfId="0" applyFont="1" applyAlignment="1">
      <alignment horizontal="left" vertical="top" wrapText="1"/>
    </xf>
    <xf numFmtId="0" fontId="1" fillId="2" borderId="0" xfId="0" applyFont="1" applyFill="1" applyAlignment="1">
      <alignment horizontal="center" vertical="center" wrapText="1"/>
    </xf>
    <xf numFmtId="0" fontId="4" fillId="0" borderId="1" xfId="0" applyFont="1" applyBorder="1" applyAlignment="1">
      <alignment horizontal="center" vertical="top"/>
    </xf>
    <xf numFmtId="0" fontId="5"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5" borderId="1" xfId="0" applyFont="1" applyFill="1" applyBorder="1" applyAlignment="1">
      <alignment horizontal="left" vertical="top" wrapText="1"/>
    </xf>
    <xf numFmtId="0" fontId="6"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7"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0" xfId="0" applyFont="1" applyAlignment="1">
      <alignment vertical="center"/>
    </xf>
    <xf numFmtId="0" fontId="8" fillId="6"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2" fillId="0" borderId="0" xfId="0" applyFont="1" applyAlignment="1">
      <alignment vertical="center"/>
    </xf>
    <xf numFmtId="0" fontId="8" fillId="0" borderId="1" xfId="0" applyFont="1" applyBorder="1" applyAlignment="1">
      <alignment vertical="center"/>
    </xf>
    <xf numFmtId="165" fontId="8" fillId="0" borderId="1" xfId="0" applyNumberFormat="1" applyFont="1" applyBorder="1" applyAlignment="1">
      <alignment vertical="center"/>
    </xf>
    <xf numFmtId="3" fontId="8" fillId="0" borderId="1" xfId="0" applyNumberFormat="1" applyFont="1" applyBorder="1" applyAlignment="1">
      <alignment vertical="center"/>
    </xf>
    <xf numFmtId="164" fontId="8" fillId="0" borderId="1" xfId="0" applyNumberFormat="1" applyFont="1" applyBorder="1" applyAlignment="1">
      <alignment vertical="center"/>
    </xf>
    <xf numFmtId="166" fontId="8" fillId="0" borderId="1" xfId="0" applyNumberFormat="1" applyFont="1" applyBorder="1" applyAlignment="1">
      <alignment vertical="center"/>
    </xf>
    <xf numFmtId="2" fontId="7" fillId="0" borderId="1" xfId="0" applyNumberFormat="1" applyFont="1" applyBorder="1" applyAlignment="1">
      <alignment vertical="center"/>
    </xf>
    <xf numFmtId="164" fontId="7" fillId="0" borderId="1" xfId="0" applyNumberFormat="1" applyFont="1" applyBorder="1" applyAlignment="1">
      <alignment vertical="center"/>
    </xf>
    <xf numFmtId="0" fontId="5" fillId="0" borderId="1" xfId="0" applyFont="1" applyBorder="1" applyAlignment="1">
      <alignment vertical="center"/>
    </xf>
    <xf numFmtId="165" fontId="8" fillId="6" borderId="1" xfId="0" applyNumberFormat="1" applyFont="1" applyFill="1" applyBorder="1" applyAlignment="1">
      <alignment vertical="center"/>
    </xf>
    <xf numFmtId="3" fontId="8" fillId="6" borderId="1" xfId="0" applyNumberFormat="1" applyFont="1" applyFill="1" applyBorder="1" applyAlignment="1">
      <alignment vertical="center"/>
    </xf>
    <xf numFmtId="0" fontId="8" fillId="0" borderId="1" xfId="0" applyFont="1" applyBorder="1" applyAlignment="1">
      <alignment horizontal="left" vertical="center" wrapText="1"/>
    </xf>
    <xf numFmtId="1" fontId="8" fillId="0" borderId="1" xfId="0" applyNumberFormat="1" applyFont="1" applyBorder="1" applyAlignment="1">
      <alignment vertical="center"/>
    </xf>
    <xf numFmtId="3" fontId="7" fillId="0" borderId="1" xfId="0" applyNumberFormat="1" applyFont="1" applyBorder="1" applyAlignment="1">
      <alignment vertical="center"/>
    </xf>
    <xf numFmtId="165" fontId="7" fillId="0" borderId="1" xfId="0" applyNumberFormat="1" applyFont="1" applyBorder="1" applyAlignment="1">
      <alignment vertical="center"/>
    </xf>
    <xf numFmtId="164" fontId="9" fillId="0" borderId="1" xfId="0" applyNumberFormat="1" applyFont="1" applyBorder="1" applyAlignment="1">
      <alignment vertical="center"/>
    </xf>
    <xf numFmtId="4" fontId="7" fillId="0" borderId="1" xfId="0" applyNumberFormat="1" applyFont="1" applyBorder="1" applyAlignment="1">
      <alignment vertical="center"/>
    </xf>
    <xf numFmtId="0" fontId="5" fillId="4" borderId="1" xfId="0" applyFont="1" applyFill="1" applyBorder="1" applyAlignment="1">
      <alignment vertical="center"/>
    </xf>
    <xf numFmtId="164" fontId="5" fillId="4" borderId="1" xfId="0" applyNumberFormat="1" applyFont="1" applyFill="1" applyBorder="1" applyAlignment="1">
      <alignment vertical="center"/>
    </xf>
    <xf numFmtId="0" fontId="9" fillId="0" borderId="1" xfId="0" applyFont="1" applyBorder="1" applyAlignment="1">
      <alignment vertical="center"/>
    </xf>
    <xf numFmtId="0" fontId="9" fillId="0" borderId="1" xfId="0" applyFont="1" applyBorder="1" applyAlignment="1">
      <alignment horizontal="left" vertical="center" wrapText="1"/>
    </xf>
    <xf numFmtId="166" fontId="7" fillId="0" borderId="1" xfId="0" applyNumberFormat="1" applyFont="1" applyBorder="1" applyAlignment="1">
      <alignment vertical="center"/>
    </xf>
    <xf numFmtId="3" fontId="5" fillId="4" borderId="1" xfId="0" applyNumberFormat="1" applyFont="1" applyFill="1" applyBorder="1" applyAlignment="1">
      <alignment vertical="center"/>
    </xf>
    <xf numFmtId="166" fontId="5" fillId="4" borderId="1" xfId="0" applyNumberFormat="1" applyFont="1" applyFill="1" applyBorder="1" applyAlignment="1">
      <alignment vertical="center"/>
    </xf>
    <xf numFmtId="167" fontId="8" fillId="0" borderId="1" xfId="0" applyNumberFormat="1" applyFont="1" applyBorder="1" applyAlignment="1">
      <alignment vertical="center"/>
    </xf>
    <xf numFmtId="168" fontId="8" fillId="0" borderId="1" xfId="0" applyNumberFormat="1" applyFont="1" applyBorder="1" applyAlignment="1">
      <alignment vertical="center"/>
    </xf>
    <xf numFmtId="9" fontId="8" fillId="6" borderId="1" xfId="0" applyNumberFormat="1" applyFont="1" applyFill="1" applyBorder="1" applyAlignment="1">
      <alignment vertical="center"/>
    </xf>
    <xf numFmtId="4" fontId="8" fillId="6" borderId="1" xfId="0" applyNumberFormat="1" applyFont="1" applyFill="1" applyBorder="1" applyAlignment="1">
      <alignment vertical="center"/>
    </xf>
    <xf numFmtId="165" fontId="9" fillId="0" borderId="1" xfId="0" applyNumberFormat="1" applyFont="1" applyBorder="1" applyAlignment="1">
      <alignment vertical="center"/>
    </xf>
    <xf numFmtId="3" fontId="9" fillId="0" borderId="1" xfId="0" applyNumberFormat="1" applyFont="1" applyBorder="1" applyAlignment="1">
      <alignment vertical="center"/>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2" fontId="8" fillId="6" borderId="1" xfId="0" applyNumberFormat="1" applyFont="1" applyFill="1" applyBorder="1" applyAlignment="1">
      <alignment vertical="center"/>
    </xf>
    <xf numFmtId="4" fontId="8" fillId="0" borderId="1" xfId="0" applyNumberFormat="1" applyFont="1" applyBorder="1" applyAlignment="1">
      <alignment vertical="center"/>
    </xf>
    <xf numFmtId="166" fontId="9" fillId="0" borderId="1" xfId="0" applyNumberFormat="1" applyFont="1" applyBorder="1" applyAlignment="1">
      <alignment vertical="center"/>
    </xf>
    <xf numFmtId="166" fontId="8" fillId="6" borderId="1" xfId="0" applyNumberFormat="1" applyFont="1" applyFill="1" applyBorder="1" applyAlignment="1">
      <alignment vertical="center"/>
    </xf>
    <xf numFmtId="164" fontId="8" fillId="6" borderId="1" xfId="0" applyNumberFormat="1" applyFont="1" applyFill="1" applyBorder="1" applyAlignment="1">
      <alignment vertical="center"/>
    </xf>
    <xf numFmtId="4" fontId="5" fillId="4" borderId="1" xfId="0" applyNumberFormat="1" applyFont="1" applyFill="1" applyBorder="1" applyAlignment="1">
      <alignment vertical="center"/>
    </xf>
    <xf numFmtId="165" fontId="5" fillId="4" borderId="1" xfId="0" applyNumberFormat="1" applyFont="1" applyFill="1" applyBorder="1" applyAlignment="1">
      <alignment vertical="center"/>
    </xf>
    <xf numFmtId="0" fontId="5"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3"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3" fontId="8" fillId="6" borderId="1"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xf numFmtId="2" fontId="8" fillId="6" borderId="1" xfId="0" applyNumberFormat="1" applyFont="1" applyFill="1" applyBorder="1" applyAlignment="1">
      <alignment vertical="center"/>
    </xf>
    <xf numFmtId="0" fontId="5" fillId="0" borderId="0" xfId="0"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4"/>
  <sheetViews>
    <sheetView tabSelected="1" zoomScaleNormal="100" workbookViewId="0"/>
  </sheetViews>
  <sheetFormatPr baseColWidth="10" defaultColWidth="8.6640625" defaultRowHeight="14.4" x14ac:dyDescent="0.3"/>
  <cols>
    <col min="1" max="1" width="3" customWidth="1"/>
    <col min="2" max="2" width="12" customWidth="1"/>
    <col min="3" max="3" width="34" customWidth="1"/>
    <col min="4" max="4" width="118" customWidth="1"/>
  </cols>
  <sheetData>
    <row r="2" spans="2:4" ht="25.5" customHeight="1" x14ac:dyDescent="0.3">
      <c r="B2" s="14" t="s">
        <v>0</v>
      </c>
      <c r="C2" s="14"/>
      <c r="D2" s="14"/>
    </row>
    <row r="3" spans="2:4" ht="43.5" customHeight="1" x14ac:dyDescent="0.3">
      <c r="B3" s="13" t="s">
        <v>1</v>
      </c>
      <c r="C3" s="13"/>
      <c r="D3" s="13"/>
    </row>
    <row r="5" spans="2:4" ht="19.5" customHeight="1" x14ac:dyDescent="0.3">
      <c r="B5" s="12" t="s">
        <v>2</v>
      </c>
      <c r="C5" s="12"/>
      <c r="D5" s="12"/>
    </row>
    <row r="6" spans="2:4" ht="64.5" customHeight="1" x14ac:dyDescent="0.3">
      <c r="B6" s="15" t="s">
        <v>3</v>
      </c>
      <c r="C6" s="16" t="s">
        <v>4</v>
      </c>
      <c r="D6" s="17" t="s">
        <v>5</v>
      </c>
    </row>
    <row r="7" spans="2:4" ht="51.75" customHeight="1" x14ac:dyDescent="0.3">
      <c r="B7" s="15" t="s">
        <v>6</v>
      </c>
      <c r="C7" s="16" t="s">
        <v>7</v>
      </c>
      <c r="D7" s="17" t="s">
        <v>8</v>
      </c>
    </row>
    <row r="8" spans="2:4" ht="39" customHeight="1" x14ac:dyDescent="0.3">
      <c r="B8" s="15" t="s">
        <v>9</v>
      </c>
      <c r="C8" s="16" t="s">
        <v>10</v>
      </c>
      <c r="D8" s="17" t="s">
        <v>11</v>
      </c>
    </row>
    <row r="9" spans="2:4" ht="19.5" customHeight="1" x14ac:dyDescent="0.3">
      <c r="B9" s="12" t="s">
        <v>12</v>
      </c>
      <c r="C9" s="12"/>
      <c r="D9" s="12"/>
    </row>
    <row r="10" spans="2:4" ht="39" customHeight="1" x14ac:dyDescent="0.3">
      <c r="B10" s="15" t="s">
        <v>13</v>
      </c>
      <c r="C10" s="16" t="s">
        <v>14</v>
      </c>
      <c r="D10" s="17" t="s">
        <v>15</v>
      </c>
    </row>
    <row r="11" spans="2:4" ht="27.75" customHeight="1" x14ac:dyDescent="0.3">
      <c r="B11" s="15" t="s">
        <v>16</v>
      </c>
      <c r="C11" s="16" t="s">
        <v>17</v>
      </c>
      <c r="D11" s="17" t="s">
        <v>18</v>
      </c>
    </row>
    <row r="12" spans="2:4" ht="27.75" customHeight="1" x14ac:dyDescent="0.3">
      <c r="B12" s="15" t="s">
        <v>19</v>
      </c>
      <c r="C12" s="16" t="s">
        <v>20</v>
      </c>
      <c r="D12" s="17" t="s">
        <v>21</v>
      </c>
    </row>
    <row r="13" spans="2:4" ht="19.5" customHeight="1" x14ac:dyDescent="0.3">
      <c r="B13" s="12" t="s">
        <v>22</v>
      </c>
      <c r="C13" s="12"/>
      <c r="D13" s="12"/>
    </row>
    <row r="14" spans="2:4" ht="39" customHeight="1" x14ac:dyDescent="0.3">
      <c r="B14" s="15" t="s">
        <v>23</v>
      </c>
      <c r="C14" s="16" t="s">
        <v>24</v>
      </c>
      <c r="D14" s="17" t="s">
        <v>25</v>
      </c>
    </row>
    <row r="15" spans="2:4" ht="51.75" customHeight="1" x14ac:dyDescent="0.3">
      <c r="B15" s="15" t="s">
        <v>26</v>
      </c>
      <c r="C15" s="16" t="s">
        <v>27</v>
      </c>
      <c r="D15" s="17" t="s">
        <v>28</v>
      </c>
    </row>
    <row r="16" spans="2:4" ht="39" customHeight="1" x14ac:dyDescent="0.3">
      <c r="B16" s="15" t="s">
        <v>29</v>
      </c>
      <c r="C16" s="16" t="s">
        <v>30</v>
      </c>
      <c r="D16" s="17" t="s">
        <v>31</v>
      </c>
    </row>
    <row r="17" spans="2:4" ht="19.5" customHeight="1" x14ac:dyDescent="0.3">
      <c r="B17" s="12" t="s">
        <v>32</v>
      </c>
      <c r="C17" s="12"/>
      <c r="D17" s="12"/>
    </row>
    <row r="18" spans="2:4" ht="51.75" customHeight="1" x14ac:dyDescent="0.3">
      <c r="B18" s="15" t="s">
        <v>33</v>
      </c>
      <c r="C18" s="16" t="s">
        <v>34</v>
      </c>
      <c r="D18" s="17" t="s">
        <v>35</v>
      </c>
    </row>
    <row r="19" spans="2:4" ht="39" customHeight="1" x14ac:dyDescent="0.3">
      <c r="B19" s="15" t="s">
        <v>36</v>
      </c>
      <c r="C19" s="16" t="s">
        <v>37</v>
      </c>
      <c r="D19" s="17" t="s">
        <v>38</v>
      </c>
    </row>
    <row r="20" spans="2:4" ht="51.75" customHeight="1" x14ac:dyDescent="0.3">
      <c r="B20" s="15" t="s">
        <v>39</v>
      </c>
      <c r="C20" s="18" t="s">
        <v>40</v>
      </c>
      <c r="D20" s="17" t="s">
        <v>41</v>
      </c>
    </row>
    <row r="21" spans="2:4" ht="19.5" customHeight="1" x14ac:dyDescent="0.3">
      <c r="B21" s="12" t="s">
        <v>42</v>
      </c>
      <c r="C21" s="12"/>
      <c r="D21" s="12"/>
    </row>
    <row r="22" spans="2:4" ht="39" customHeight="1" x14ac:dyDescent="0.3">
      <c r="B22" s="15" t="s">
        <v>43</v>
      </c>
      <c r="C22" s="16" t="s">
        <v>44</v>
      </c>
      <c r="D22" s="17" t="s">
        <v>45</v>
      </c>
    </row>
    <row r="23" spans="2:4" ht="39" customHeight="1" x14ac:dyDescent="0.3">
      <c r="B23" s="15" t="s">
        <v>46</v>
      </c>
      <c r="C23" s="16" t="s">
        <v>47</v>
      </c>
      <c r="D23" s="17" t="s">
        <v>48</v>
      </c>
    </row>
    <row r="24" spans="2:4" ht="27.75" customHeight="1" x14ac:dyDescent="0.3">
      <c r="B24" s="15" t="s">
        <v>49</v>
      </c>
      <c r="C24" s="16" t="s">
        <v>50</v>
      </c>
      <c r="D24" s="17" t="s">
        <v>51</v>
      </c>
    </row>
    <row r="25" spans="2:4" ht="51.75" customHeight="1" x14ac:dyDescent="0.3">
      <c r="B25" s="15" t="s">
        <v>52</v>
      </c>
      <c r="C25" s="16" t="s">
        <v>53</v>
      </c>
      <c r="D25" s="17" t="s">
        <v>54</v>
      </c>
    </row>
    <row r="26" spans="2:4" ht="19.5" customHeight="1" x14ac:dyDescent="0.3">
      <c r="B26" s="12" t="s">
        <v>55</v>
      </c>
      <c r="C26" s="12"/>
      <c r="D26" s="12"/>
    </row>
    <row r="27" spans="2:4" ht="39" customHeight="1" x14ac:dyDescent="0.3">
      <c r="B27" s="15" t="s">
        <v>56</v>
      </c>
      <c r="C27" s="16" t="s">
        <v>57</v>
      </c>
      <c r="D27" s="17" t="s">
        <v>58</v>
      </c>
    </row>
    <row r="28" spans="2:4" ht="27.75" customHeight="1" x14ac:dyDescent="0.3">
      <c r="B28" s="15" t="s">
        <v>59</v>
      </c>
      <c r="C28" s="16" t="s">
        <v>60</v>
      </c>
      <c r="D28" s="17" t="s">
        <v>61</v>
      </c>
    </row>
    <row r="29" spans="2:4" ht="39" customHeight="1" x14ac:dyDescent="0.3">
      <c r="B29" s="15" t="s">
        <v>62</v>
      </c>
      <c r="C29" s="16" t="s">
        <v>63</v>
      </c>
      <c r="D29" s="17" t="s">
        <v>64</v>
      </c>
    </row>
    <row r="30" spans="2:4" ht="19.5" customHeight="1" x14ac:dyDescent="0.3">
      <c r="B30" s="12" t="s">
        <v>65</v>
      </c>
      <c r="C30" s="12"/>
      <c r="D30" s="12"/>
    </row>
    <row r="31" spans="2:4" ht="51.75" customHeight="1" x14ac:dyDescent="0.3">
      <c r="B31" s="15" t="s">
        <v>66</v>
      </c>
      <c r="C31" s="16" t="s">
        <v>67</v>
      </c>
      <c r="D31" s="17" t="s">
        <v>68</v>
      </c>
    </row>
    <row r="32" spans="2:4" ht="51.75" customHeight="1" x14ac:dyDescent="0.3">
      <c r="B32" s="15" t="s">
        <v>69</v>
      </c>
      <c r="C32" s="16" t="s">
        <v>70</v>
      </c>
      <c r="D32" s="17" t="s">
        <v>71</v>
      </c>
    </row>
    <row r="33" spans="2:4" ht="27.75" customHeight="1" x14ac:dyDescent="0.3">
      <c r="B33" s="15" t="s">
        <v>72</v>
      </c>
      <c r="C33" s="16" t="s">
        <v>73</v>
      </c>
      <c r="D33" s="17" t="s">
        <v>74</v>
      </c>
    </row>
    <row r="34" spans="2:4" ht="27.75" customHeight="1" x14ac:dyDescent="0.3">
      <c r="B34" s="15" t="s">
        <v>75</v>
      </c>
      <c r="C34" s="16" t="s">
        <v>76</v>
      </c>
      <c r="D34" s="17" t="s">
        <v>77</v>
      </c>
    </row>
    <row r="35" spans="2:4" ht="19.5" customHeight="1" x14ac:dyDescent="0.3">
      <c r="B35" s="12" t="s">
        <v>78</v>
      </c>
      <c r="C35" s="12"/>
      <c r="D35" s="12"/>
    </row>
    <row r="36" spans="2:4" ht="51.75" customHeight="1" x14ac:dyDescent="0.3">
      <c r="B36" s="15" t="s">
        <v>79</v>
      </c>
      <c r="C36" s="18" t="s">
        <v>80</v>
      </c>
      <c r="D36" s="17" t="s">
        <v>81</v>
      </c>
    </row>
    <row r="37" spans="2:4" ht="39" customHeight="1" x14ac:dyDescent="0.3">
      <c r="B37" s="15" t="s">
        <v>82</v>
      </c>
      <c r="C37" s="16" t="s">
        <v>83</v>
      </c>
      <c r="D37" s="17" t="s">
        <v>84</v>
      </c>
    </row>
    <row r="38" spans="2:4" ht="39" customHeight="1" x14ac:dyDescent="0.3">
      <c r="B38" s="15" t="s">
        <v>85</v>
      </c>
      <c r="C38" s="16" t="s">
        <v>86</v>
      </c>
      <c r="D38" s="17" t="s">
        <v>87</v>
      </c>
    </row>
    <row r="39" spans="2:4" ht="64.5" customHeight="1" x14ac:dyDescent="0.3">
      <c r="B39" s="15" t="s">
        <v>88</v>
      </c>
      <c r="C39" s="18" t="s">
        <v>89</v>
      </c>
      <c r="D39" s="17" t="s">
        <v>90</v>
      </c>
    </row>
    <row r="41" spans="2:4" ht="30" customHeight="1" x14ac:dyDescent="0.3">
      <c r="B41" s="11" t="s">
        <v>91</v>
      </c>
      <c r="C41" s="11"/>
      <c r="D41" s="11"/>
    </row>
    <row r="43" spans="2:4" ht="30" customHeight="1" x14ac:dyDescent="0.3">
      <c r="B43" s="10" t="s">
        <v>92</v>
      </c>
      <c r="C43" s="10"/>
      <c r="D43" s="10"/>
    </row>
    <row r="44" spans="2:4" ht="42" customHeight="1" x14ac:dyDescent="0.3">
      <c r="B44" s="10" t="s">
        <v>93</v>
      </c>
      <c r="C44" s="10"/>
      <c r="D44" s="10"/>
    </row>
  </sheetData>
  <mergeCells count="13">
    <mergeCell ref="B41:D41"/>
    <mergeCell ref="B43:D43"/>
    <mergeCell ref="B44:D44"/>
    <mergeCell ref="B17:D17"/>
    <mergeCell ref="B21:D21"/>
    <mergeCell ref="B26:D26"/>
    <mergeCell ref="B30:D30"/>
    <mergeCell ref="B35:D35"/>
    <mergeCell ref="B2:D2"/>
    <mergeCell ref="B3:D3"/>
    <mergeCell ref="B5:D5"/>
    <mergeCell ref="B9:D9"/>
    <mergeCell ref="B13:D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34"/>
  <sheetViews>
    <sheetView zoomScaleNormal="100" workbookViewId="0"/>
  </sheetViews>
  <sheetFormatPr baseColWidth="10" defaultColWidth="8.6640625" defaultRowHeight="14.4" x14ac:dyDescent="0.3"/>
  <cols>
    <col min="1" max="1" width="3" customWidth="1"/>
    <col min="2" max="2" width="44" customWidth="1"/>
    <col min="3" max="3" width="20" customWidth="1"/>
    <col min="4" max="4" width="16" customWidth="1"/>
    <col min="5" max="5" width="70" customWidth="1"/>
  </cols>
  <sheetData>
    <row r="2" spans="2:5" ht="24" customHeight="1" x14ac:dyDescent="0.3">
      <c r="B2" s="14" t="s">
        <v>94</v>
      </c>
      <c r="C2" s="14"/>
      <c r="D2" s="14"/>
      <c r="E2" s="14"/>
    </row>
    <row r="3" spans="2:5" ht="30" customHeight="1" x14ac:dyDescent="0.3">
      <c r="B3" s="9" t="s">
        <v>95</v>
      </c>
      <c r="C3" s="9"/>
      <c r="D3" s="9"/>
      <c r="E3" s="9"/>
    </row>
    <row r="5" spans="2:5" ht="15" customHeight="1" x14ac:dyDescent="0.3">
      <c r="B5" s="10" t="s">
        <v>96</v>
      </c>
      <c r="C5" s="10"/>
      <c r="D5" s="10"/>
      <c r="E5" s="10"/>
    </row>
    <row r="6" spans="2:5" ht="15" customHeight="1" x14ac:dyDescent="0.3">
      <c r="B6" s="19" t="s">
        <v>97</v>
      </c>
      <c r="C6" s="19" t="s">
        <v>98</v>
      </c>
      <c r="D6" s="19"/>
      <c r="E6" s="19" t="s">
        <v>99</v>
      </c>
    </row>
    <row r="7" spans="2:5" ht="30" customHeight="1" x14ac:dyDescent="0.3">
      <c r="B7" s="20" t="s">
        <v>100</v>
      </c>
      <c r="C7" s="8" t="str">
        <f>IF(COUNT('2_HOJA_TECNICA'!F6:F13)&gt;=1,"OK","FALTA")</f>
        <v>OK</v>
      </c>
      <c r="D7" s="8"/>
      <c r="E7" s="22" t="s">
        <v>101</v>
      </c>
    </row>
    <row r="8" spans="2:5" ht="30" customHeight="1" x14ac:dyDescent="0.3">
      <c r="B8" s="20" t="s">
        <v>102</v>
      </c>
      <c r="C8" s="8" t="str">
        <f>IF(SUMPRODUCT(--('2_HOJA_TECNICA'!L6:L13&gt;0))&gt;=1,"OK","FALTA")</f>
        <v>FALTA</v>
      </c>
      <c r="D8" s="8"/>
      <c r="E8" s="22" t="s">
        <v>103</v>
      </c>
    </row>
    <row r="9" spans="2:5" ht="30" customHeight="1" x14ac:dyDescent="0.3">
      <c r="B9" s="20" t="s">
        <v>104</v>
      </c>
      <c r="C9" s="8" t="str">
        <f>IF($C$16="SI","OK","PENDIENTE")</f>
        <v>PENDIENTE</v>
      </c>
      <c r="D9" s="8"/>
      <c r="E9" s="22" t="s">
        <v>105</v>
      </c>
    </row>
    <row r="10" spans="2:5" ht="30" customHeight="1" x14ac:dyDescent="0.3">
      <c r="B10" s="20" t="s">
        <v>106</v>
      </c>
      <c r="C10" s="8" t="str">
        <f>IF(COUNTA('10_PIEZAS'!B6:B35)&gt;=1,"OK","FALTA")</f>
        <v>OK</v>
      </c>
      <c r="D10" s="8"/>
      <c r="E10" s="22" t="s">
        <v>107</v>
      </c>
    </row>
    <row r="11" spans="2:5" ht="30" customHeight="1" x14ac:dyDescent="0.3">
      <c r="B11" s="20" t="s">
        <v>108</v>
      </c>
      <c r="C11" s="8" t="str">
        <f>IF(COUNTIF('12_ESTIMACION'!K8:K13,"⚠ REEVALUAR")=0,"OK",COUNTIF('12_ESTIMACION'!K8:K13,"⚠ REEVALUAR")&amp;" FAMILIAS EN ALERTA")</f>
        <v>5 FAMILIAS EN ALERTA</v>
      </c>
      <c r="D11" s="8"/>
      <c r="E11" s="22" t="s">
        <v>109</v>
      </c>
    </row>
    <row r="12" spans="2:5" ht="30" customHeight="1" x14ac:dyDescent="0.3">
      <c r="B12" s="20" t="s">
        <v>110</v>
      </c>
      <c r="C12" s="8" t="str">
        <f>IF(COUNTA('4_CALCULO'!B6:B25)&gt;=1,"OK","FALTA")</f>
        <v>OK</v>
      </c>
      <c r="D12" s="8"/>
      <c r="E12" s="22" t="s">
        <v>111</v>
      </c>
    </row>
    <row r="13" spans="2:5" ht="30" customHeight="1" x14ac:dyDescent="0.3">
      <c r="B13" s="20" t="s">
        <v>112</v>
      </c>
      <c r="C13" s="8" t="str">
        <f>IF(AND(COUNTA('7_ABRASIVO'!B14:B28)&gt;=1,SUMPRODUCT(--('7_ABRASIVO'!J7:J9&gt;0))&gt;=1),"OK","FALTA")</f>
        <v>FALTA</v>
      </c>
      <c r="D13" s="8"/>
      <c r="E13" s="22" t="s">
        <v>113</v>
      </c>
    </row>
    <row r="14" spans="2:5" ht="30" customHeight="1" x14ac:dyDescent="0.3">
      <c r="B14" s="20" t="s">
        <v>114</v>
      </c>
      <c r="C14" s="8" t="str">
        <f>IF(SUMPRODUCT(--('11_APU'!G7:G12&gt;0))&gt;=1,"OK","PENDIENTE")</f>
        <v>PENDIENTE</v>
      </c>
      <c r="D14" s="8"/>
      <c r="E14" s="22" t="s">
        <v>115</v>
      </c>
    </row>
    <row r="16" spans="2:5" ht="15" customHeight="1" x14ac:dyDescent="0.3">
      <c r="B16" s="23" t="s">
        <v>116</v>
      </c>
      <c r="C16" s="24" t="s">
        <v>117</v>
      </c>
    </row>
    <row r="18" spans="2:5" ht="15" customHeight="1" x14ac:dyDescent="0.3">
      <c r="B18" s="10" t="s">
        <v>118</v>
      </c>
      <c r="C18" s="10"/>
      <c r="D18" s="10"/>
      <c r="E18" s="10"/>
    </row>
    <row r="19" spans="2:5" ht="15" customHeight="1" x14ac:dyDescent="0.3">
      <c r="B19" s="19" t="s">
        <v>119</v>
      </c>
      <c r="C19" s="19" t="s">
        <v>120</v>
      </c>
      <c r="D19" s="19"/>
      <c r="E19" s="19"/>
    </row>
    <row r="20" spans="2:5" ht="15" customHeight="1" x14ac:dyDescent="0.3">
      <c r="B20" s="22" t="s">
        <v>121</v>
      </c>
      <c r="C20" s="7">
        <f>'10_PIEZAS'!H36</f>
        <v>1348.7999999999997</v>
      </c>
      <c r="D20" s="7"/>
    </row>
    <row r="21" spans="2:5" ht="15" customHeight="1" x14ac:dyDescent="0.3">
      <c r="B21" s="22" t="s">
        <v>122</v>
      </c>
      <c r="C21" s="6">
        <f>'10_PIEZAS'!I36</f>
        <v>69782</v>
      </c>
      <c r="D21" s="6"/>
    </row>
    <row r="22" spans="2:5" ht="15" customHeight="1" x14ac:dyDescent="0.3">
      <c r="B22" s="22" t="s">
        <v>123</v>
      </c>
      <c r="C22" s="6">
        <f>'4_CALCULO'!N26</f>
        <v>1782.4180399719494</v>
      </c>
      <c r="D22" s="6"/>
    </row>
    <row r="23" spans="2:5" ht="15" customHeight="1" x14ac:dyDescent="0.3">
      <c r="B23" s="22" t="s">
        <v>124</v>
      </c>
      <c r="C23" s="6">
        <f>'4_CALCULO'!P26</f>
        <v>2704.9835766072438</v>
      </c>
      <c r="D23" s="6"/>
    </row>
    <row r="24" spans="2:5" ht="15" customHeight="1" x14ac:dyDescent="0.3">
      <c r="B24" s="22" t="s">
        <v>125</v>
      </c>
      <c r="C24" s="6">
        <f>'4_CALCULO'!Q26</f>
        <v>922.56553663529417</v>
      </c>
      <c r="D24" s="6"/>
    </row>
    <row r="25" spans="2:5" ht="15" customHeight="1" x14ac:dyDescent="0.3">
      <c r="B25" s="22" t="s">
        <v>126</v>
      </c>
      <c r="C25" s="5">
        <f>IF('4_CALCULO'!P26=0,"",'4_CALCULO'!Q26/'4_CALCULO'!P26)</f>
        <v>0.34106141886171171</v>
      </c>
      <c r="D25" s="5"/>
    </row>
    <row r="26" spans="2:5" ht="15" customHeight="1" x14ac:dyDescent="0.3">
      <c r="B26" s="22" t="s">
        <v>127</v>
      </c>
      <c r="C26" s="6">
        <f>'5_RESUMEN'!I14</f>
        <v>127</v>
      </c>
      <c r="D26" s="6"/>
    </row>
    <row r="27" spans="2:5" ht="15" customHeight="1" x14ac:dyDescent="0.3">
      <c r="B27" s="22" t="s">
        <v>128</v>
      </c>
      <c r="C27" s="4">
        <f>'5_RESUMEN'!L14</f>
        <v>0</v>
      </c>
      <c r="D27" s="4"/>
    </row>
    <row r="28" spans="2:5" ht="15" customHeight="1" x14ac:dyDescent="0.3">
      <c r="B28" s="22" t="s">
        <v>129</v>
      </c>
      <c r="C28" s="6">
        <f>'7_ABRASIVO'!M29</f>
        <v>3650</v>
      </c>
      <c r="D28" s="6"/>
    </row>
    <row r="29" spans="2:5" ht="15" customHeight="1" x14ac:dyDescent="0.3">
      <c r="B29" s="22" t="s">
        <v>130</v>
      </c>
      <c r="C29" s="4">
        <f>'7_ABRASIVO'!N29</f>
        <v>0</v>
      </c>
      <c r="D29" s="4"/>
    </row>
    <row r="30" spans="2:5" ht="15" customHeight="1" x14ac:dyDescent="0.3">
      <c r="B30" s="22" t="s">
        <v>131</v>
      </c>
      <c r="C30" s="4">
        <f>'10_PIEZAS'!K36</f>
        <v>29671.3125</v>
      </c>
      <c r="D30" s="4"/>
    </row>
    <row r="31" spans="2:5" ht="15" customHeight="1" x14ac:dyDescent="0.3">
      <c r="B31" s="22" t="s">
        <v>132</v>
      </c>
      <c r="C31" s="4">
        <f>IF('10_PIEZAS'!H36=0,"",'10_PIEZAS'!K36/'10_PIEZAS'!H36)</f>
        <v>21.998304048042709</v>
      </c>
      <c r="D31" s="4"/>
    </row>
    <row r="32" spans="2:5" ht="15" customHeight="1" x14ac:dyDescent="0.3">
      <c r="B32" s="22" t="s">
        <v>133</v>
      </c>
      <c r="C32" s="4">
        <f>'10_PIEZAS'!L36</f>
        <v>0.42520008741509274</v>
      </c>
      <c r="D32" s="4"/>
    </row>
    <row r="34" spans="2:5" ht="27.75" customHeight="1" x14ac:dyDescent="0.3">
      <c r="B34" s="3" t="s">
        <v>134</v>
      </c>
      <c r="C34" s="3"/>
      <c r="D34" s="3"/>
      <c r="E34" s="3"/>
    </row>
  </sheetData>
  <mergeCells count="26">
    <mergeCell ref="B34:E34"/>
    <mergeCell ref="C28:D28"/>
    <mergeCell ref="C29:D29"/>
    <mergeCell ref="C30:D30"/>
    <mergeCell ref="C31:D31"/>
    <mergeCell ref="C32:D32"/>
    <mergeCell ref="C23:D23"/>
    <mergeCell ref="C24:D24"/>
    <mergeCell ref="C25:D25"/>
    <mergeCell ref="C26:D26"/>
    <mergeCell ref="C27:D27"/>
    <mergeCell ref="C14:D14"/>
    <mergeCell ref="B18:E18"/>
    <mergeCell ref="C20:D20"/>
    <mergeCell ref="C21:D21"/>
    <mergeCell ref="C22:D22"/>
    <mergeCell ref="C9:D9"/>
    <mergeCell ref="C10:D10"/>
    <mergeCell ref="C11:D11"/>
    <mergeCell ref="C12:D12"/>
    <mergeCell ref="C13:D13"/>
    <mergeCell ref="B2:E2"/>
    <mergeCell ref="B3:E3"/>
    <mergeCell ref="B5:E5"/>
    <mergeCell ref="C7:D7"/>
    <mergeCell ref="C8:D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12"/>
  <sheetViews>
    <sheetView tabSelected="1" zoomScaleNormal="100" workbookViewId="0"/>
  </sheetViews>
  <sheetFormatPr baseColWidth="10" defaultColWidth="8.6640625" defaultRowHeight="14.4" x14ac:dyDescent="0.3"/>
  <cols>
    <col min="1" max="1" width="3" customWidth="1"/>
    <col min="2" max="2" width="30" customWidth="1"/>
    <col min="3" max="3" width="105" customWidth="1"/>
  </cols>
  <sheetData>
    <row r="2" spans="2:3" ht="24" customHeight="1" x14ac:dyDescent="0.3">
      <c r="B2" s="14" t="s">
        <v>135</v>
      </c>
      <c r="C2" s="14"/>
    </row>
    <row r="3" spans="2:3" ht="15" customHeight="1" x14ac:dyDescent="0.3">
      <c r="B3" s="23" t="s">
        <v>136</v>
      </c>
    </row>
    <row r="5" spans="2:3" ht="69.75" customHeight="1" x14ac:dyDescent="0.3">
      <c r="B5" s="25" t="s">
        <v>137</v>
      </c>
      <c r="C5" s="22" t="s">
        <v>138</v>
      </c>
    </row>
    <row r="6" spans="2:3" ht="97.5" customHeight="1" x14ac:dyDescent="0.3">
      <c r="B6" s="25" t="s">
        <v>139</v>
      </c>
      <c r="C6" s="22" t="s">
        <v>140</v>
      </c>
    </row>
    <row r="7" spans="2:3" ht="42" customHeight="1" x14ac:dyDescent="0.3">
      <c r="B7" s="25" t="s">
        <v>141</v>
      </c>
      <c r="C7" s="22" t="s">
        <v>142</v>
      </c>
    </row>
    <row r="8" spans="2:3" ht="55.5" customHeight="1" x14ac:dyDescent="0.3">
      <c r="B8" s="25" t="s">
        <v>143</v>
      </c>
      <c r="C8" s="22" t="s">
        <v>144</v>
      </c>
    </row>
    <row r="9" spans="2:3" ht="69.75" customHeight="1" x14ac:dyDescent="0.3">
      <c r="B9" s="25" t="s">
        <v>145</v>
      </c>
      <c r="C9" s="22" t="s">
        <v>146</v>
      </c>
    </row>
    <row r="10" spans="2:3" ht="42" customHeight="1" x14ac:dyDescent="0.3">
      <c r="B10" s="25" t="s">
        <v>147</v>
      </c>
      <c r="C10" s="22" t="s">
        <v>148</v>
      </c>
    </row>
    <row r="11" spans="2:3" ht="84" customHeight="1" x14ac:dyDescent="0.3">
      <c r="B11" s="25" t="s">
        <v>149</v>
      </c>
      <c r="C11" s="22" t="s">
        <v>150</v>
      </c>
    </row>
    <row r="12" spans="2:3" ht="42" customHeight="1" x14ac:dyDescent="0.3">
      <c r="B12" s="25" t="s">
        <v>151</v>
      </c>
      <c r="C12" s="22" t="s">
        <v>152</v>
      </c>
    </row>
  </sheetData>
  <mergeCells count="1">
    <mergeCell ref="B2:C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14"/>
  <sheetViews>
    <sheetView zoomScaleNormal="100" workbookViewId="0"/>
  </sheetViews>
  <sheetFormatPr baseColWidth="10" defaultColWidth="8.6640625" defaultRowHeight="14.4" x14ac:dyDescent="0.3"/>
  <cols>
    <col min="1" max="1" width="3" customWidth="1"/>
    <col min="2" max="2" width="14" customWidth="1"/>
    <col min="3" max="3" width="26" customWidth="1"/>
    <col min="4" max="4" width="16" customWidth="1"/>
    <col min="5" max="5" width="14" customWidth="1"/>
    <col min="6" max="10" width="12" customWidth="1"/>
    <col min="11" max="11" width="10" customWidth="1"/>
    <col min="12" max="12" width="12" customWidth="1"/>
    <col min="13" max="13" width="14" customWidth="1"/>
    <col min="14" max="14" width="16" customWidth="1"/>
    <col min="15" max="15" width="30" customWidth="1"/>
  </cols>
  <sheetData>
    <row r="2" spans="2:15" ht="24" customHeight="1" x14ac:dyDescent="0.3">
      <c r="B2" s="14" t="s">
        <v>153</v>
      </c>
      <c r="C2" s="14"/>
      <c r="D2" s="14"/>
      <c r="E2" s="14"/>
      <c r="F2" s="14"/>
      <c r="G2" s="14"/>
      <c r="H2" s="14"/>
      <c r="I2" s="14"/>
      <c r="J2" s="14"/>
      <c r="K2" s="14"/>
      <c r="L2" s="14"/>
      <c r="M2" s="14"/>
      <c r="N2" s="14"/>
      <c r="O2" s="14"/>
    </row>
    <row r="3" spans="2:15" ht="15" customHeight="1" x14ac:dyDescent="0.3">
      <c r="B3" s="26" t="s">
        <v>154</v>
      </c>
    </row>
    <row r="5" spans="2:15" ht="42" customHeight="1" x14ac:dyDescent="0.3">
      <c r="B5" s="19" t="s">
        <v>155</v>
      </c>
      <c r="C5" s="19" t="s">
        <v>156</v>
      </c>
      <c r="D5" s="19" t="s">
        <v>157</v>
      </c>
      <c r="E5" s="19" t="s">
        <v>158</v>
      </c>
      <c r="F5" s="19" t="s">
        <v>159</v>
      </c>
      <c r="G5" s="19" t="s">
        <v>160</v>
      </c>
      <c r="H5" s="19" t="s">
        <v>161</v>
      </c>
      <c r="I5" s="19" t="s">
        <v>162</v>
      </c>
      <c r="J5" s="19" t="s">
        <v>163</v>
      </c>
      <c r="K5" s="19" t="s">
        <v>164</v>
      </c>
      <c r="L5" s="19" t="s">
        <v>165</v>
      </c>
      <c r="M5" s="19" t="s">
        <v>166</v>
      </c>
      <c r="N5" s="19" t="s">
        <v>167</v>
      </c>
      <c r="O5" s="19" t="s">
        <v>168</v>
      </c>
    </row>
    <row r="6" spans="2:15" ht="15" customHeight="1" x14ac:dyDescent="0.3">
      <c r="B6" s="27" t="s">
        <v>169</v>
      </c>
      <c r="C6" s="27" t="s">
        <v>170</v>
      </c>
      <c r="D6" s="27" t="s">
        <v>171</v>
      </c>
      <c r="E6" s="27" t="s">
        <v>172</v>
      </c>
      <c r="F6" s="28">
        <v>0.62</v>
      </c>
      <c r="G6" s="29">
        <v>50</v>
      </c>
      <c r="H6" s="29">
        <v>75</v>
      </c>
      <c r="I6" s="29">
        <v>100</v>
      </c>
      <c r="J6" s="30">
        <v>18.899999999999999</v>
      </c>
      <c r="K6" s="27" t="s">
        <v>117</v>
      </c>
      <c r="L6" s="31">
        <v>0</v>
      </c>
      <c r="M6" s="32">
        <f t="shared" ref="M6:M13" si="0">IF(OR(F6="",H6=""),"",F6*1000/H6)</f>
        <v>8.2666666666666675</v>
      </c>
      <c r="N6" s="33">
        <f t="shared" ref="N6:N13" si="1">IF(M6="","",M6*J6)</f>
        <v>156.24</v>
      </c>
      <c r="O6" s="27"/>
    </row>
    <row r="7" spans="2:15" ht="15" customHeight="1" x14ac:dyDescent="0.3">
      <c r="B7" s="27" t="s">
        <v>173</v>
      </c>
      <c r="C7" s="27" t="s">
        <v>174</v>
      </c>
      <c r="D7" s="27" t="s">
        <v>171</v>
      </c>
      <c r="E7" s="27" t="s">
        <v>175</v>
      </c>
      <c r="F7" s="28">
        <v>0.8</v>
      </c>
      <c r="G7" s="29">
        <v>100</v>
      </c>
      <c r="H7" s="29">
        <v>125</v>
      </c>
      <c r="I7" s="29">
        <v>200</v>
      </c>
      <c r="J7" s="30">
        <v>18.899999999999999</v>
      </c>
      <c r="K7" s="27" t="s">
        <v>117</v>
      </c>
      <c r="L7" s="31">
        <v>0</v>
      </c>
      <c r="M7" s="32">
        <f t="shared" si="0"/>
        <v>6.4</v>
      </c>
      <c r="N7" s="33">
        <f t="shared" si="1"/>
        <v>120.96</v>
      </c>
      <c r="O7" s="27"/>
    </row>
    <row r="8" spans="2:15" ht="15" customHeight="1" x14ac:dyDescent="0.3">
      <c r="B8" s="27" t="s">
        <v>176</v>
      </c>
      <c r="C8" s="27" t="s">
        <v>177</v>
      </c>
      <c r="D8" s="27" t="s">
        <v>171</v>
      </c>
      <c r="E8" s="27" t="s">
        <v>178</v>
      </c>
      <c r="F8" s="28">
        <v>0.6</v>
      </c>
      <c r="G8" s="29">
        <v>50</v>
      </c>
      <c r="H8" s="29">
        <v>75</v>
      </c>
      <c r="I8" s="29">
        <v>100</v>
      </c>
      <c r="J8" s="30">
        <v>18.899999999999999</v>
      </c>
      <c r="K8" s="27" t="s">
        <v>117</v>
      </c>
      <c r="L8" s="31">
        <v>0</v>
      </c>
      <c r="M8" s="32">
        <f t="shared" si="0"/>
        <v>8</v>
      </c>
      <c r="N8" s="33">
        <f t="shared" si="1"/>
        <v>151.19999999999999</v>
      </c>
      <c r="O8" s="27"/>
    </row>
    <row r="9" spans="2:15" ht="15" customHeight="1" x14ac:dyDescent="0.3">
      <c r="B9" s="27" t="s">
        <v>179</v>
      </c>
      <c r="C9" s="27" t="s">
        <v>180</v>
      </c>
      <c r="D9" s="27" t="s">
        <v>171</v>
      </c>
      <c r="E9" s="27" t="s">
        <v>181</v>
      </c>
      <c r="F9" s="28">
        <v>0.69</v>
      </c>
      <c r="G9" s="29">
        <v>300</v>
      </c>
      <c r="H9" s="29">
        <v>1000</v>
      </c>
      <c r="I9" s="29">
        <v>3000</v>
      </c>
      <c r="J9" s="30">
        <v>25</v>
      </c>
      <c r="K9" s="27" t="s">
        <v>182</v>
      </c>
      <c r="L9" s="31">
        <v>0</v>
      </c>
      <c r="M9" s="32">
        <f t="shared" si="0"/>
        <v>0.69</v>
      </c>
      <c r="N9" s="33">
        <f t="shared" si="1"/>
        <v>17.25</v>
      </c>
      <c r="O9" s="27"/>
    </row>
    <row r="10" spans="2:15" ht="15" customHeight="1" x14ac:dyDescent="0.3">
      <c r="B10" s="27" t="s">
        <v>183</v>
      </c>
      <c r="C10" s="27"/>
      <c r="D10" s="27"/>
      <c r="E10" s="27"/>
      <c r="F10" s="28"/>
      <c r="G10" s="29"/>
      <c r="H10" s="29"/>
      <c r="I10" s="29"/>
      <c r="J10" s="30"/>
      <c r="K10" s="27" t="s">
        <v>117</v>
      </c>
      <c r="L10" s="31">
        <v>0</v>
      </c>
      <c r="M10" s="32" t="str">
        <f t="shared" si="0"/>
        <v/>
      </c>
      <c r="N10" s="33" t="str">
        <f t="shared" si="1"/>
        <v/>
      </c>
      <c r="O10" s="27"/>
    </row>
    <row r="11" spans="2:15" ht="15" customHeight="1" x14ac:dyDescent="0.3">
      <c r="B11" s="27" t="s">
        <v>184</v>
      </c>
      <c r="C11" s="27"/>
      <c r="D11" s="27"/>
      <c r="E11" s="27"/>
      <c r="F11" s="28"/>
      <c r="G11" s="29"/>
      <c r="H11" s="29"/>
      <c r="I11" s="29"/>
      <c r="J11" s="30"/>
      <c r="K11" s="27" t="s">
        <v>117</v>
      </c>
      <c r="L11" s="31">
        <v>0</v>
      </c>
      <c r="M11" s="32" t="str">
        <f t="shared" si="0"/>
        <v/>
      </c>
      <c r="N11" s="33" t="str">
        <f t="shared" si="1"/>
        <v/>
      </c>
      <c r="O11" s="27"/>
    </row>
    <row r="12" spans="2:15" ht="15" customHeight="1" x14ac:dyDescent="0.3">
      <c r="B12" s="27" t="s">
        <v>185</v>
      </c>
      <c r="C12" s="27"/>
      <c r="D12" s="27"/>
      <c r="E12" s="27"/>
      <c r="F12" s="28"/>
      <c r="G12" s="29"/>
      <c r="H12" s="29"/>
      <c r="I12" s="29"/>
      <c r="J12" s="30"/>
      <c r="K12" s="27" t="s">
        <v>117</v>
      </c>
      <c r="L12" s="31">
        <v>0</v>
      </c>
      <c r="M12" s="32" t="str">
        <f t="shared" si="0"/>
        <v/>
      </c>
      <c r="N12" s="33" t="str">
        <f t="shared" si="1"/>
        <v/>
      </c>
      <c r="O12" s="27"/>
    </row>
    <row r="13" spans="2:15" ht="15" customHeight="1" x14ac:dyDescent="0.3">
      <c r="B13" s="27" t="s">
        <v>186</v>
      </c>
      <c r="C13" s="27"/>
      <c r="D13" s="27"/>
      <c r="E13" s="27"/>
      <c r="F13" s="28"/>
      <c r="G13" s="29"/>
      <c r="H13" s="29"/>
      <c r="I13" s="29"/>
      <c r="J13" s="30"/>
      <c r="K13" s="27" t="s">
        <v>117</v>
      </c>
      <c r="L13" s="31">
        <v>0</v>
      </c>
      <c r="M13" s="32" t="str">
        <f t="shared" si="0"/>
        <v/>
      </c>
      <c r="N13" s="33" t="str">
        <f t="shared" si="1"/>
        <v/>
      </c>
      <c r="O13" s="27"/>
    </row>
    <row r="14" spans="2:15" ht="27.75" customHeight="1" x14ac:dyDescent="0.3">
      <c r="B14" s="2" t="s">
        <v>187</v>
      </c>
      <c r="C14" s="2"/>
      <c r="D14" s="2"/>
      <c r="E14" s="2"/>
      <c r="F14" s="2"/>
      <c r="G14" s="2"/>
      <c r="H14" s="2"/>
      <c r="I14" s="2"/>
      <c r="J14" s="2"/>
      <c r="K14" s="2"/>
      <c r="L14" s="2"/>
      <c r="M14" s="2"/>
      <c r="N14" s="2"/>
      <c r="O14" s="2"/>
    </row>
  </sheetData>
  <mergeCells count="2">
    <mergeCell ref="B2:O2"/>
    <mergeCell ref="B14:O1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41"/>
  <sheetViews>
    <sheetView zoomScaleNormal="100" workbookViewId="0"/>
  </sheetViews>
  <sheetFormatPr baseColWidth="10" defaultColWidth="8.6640625" defaultRowHeight="14.4" x14ac:dyDescent="0.3"/>
  <cols>
    <col min="1" max="1" width="3" customWidth="1"/>
    <col min="2" max="2" width="10" customWidth="1"/>
    <col min="3" max="3" width="38" customWidth="1"/>
    <col min="4" max="6" width="14" customWidth="1"/>
    <col min="7" max="7" width="55" customWidth="1"/>
  </cols>
  <sheetData>
    <row r="2" spans="2:7" ht="24" customHeight="1" x14ac:dyDescent="0.3">
      <c r="B2" s="14" t="s">
        <v>188</v>
      </c>
      <c r="C2" s="14"/>
      <c r="D2" s="14"/>
      <c r="E2" s="14"/>
      <c r="F2" s="14"/>
      <c r="G2" s="14"/>
    </row>
    <row r="4" spans="2:7" ht="15" customHeight="1" x14ac:dyDescent="0.3">
      <c r="B4" s="10" t="s">
        <v>189</v>
      </c>
      <c r="C4" s="10"/>
      <c r="D4" s="10"/>
      <c r="E4" s="10"/>
      <c r="F4" s="10"/>
      <c r="G4" s="10"/>
    </row>
    <row r="5" spans="2:7" ht="23.25" customHeight="1" x14ac:dyDescent="0.3">
      <c r="B5" s="19" t="s">
        <v>190</v>
      </c>
      <c r="C5" s="19" t="s">
        <v>191</v>
      </c>
      <c r="D5" s="19" t="s">
        <v>192</v>
      </c>
      <c r="E5" s="19"/>
      <c r="F5" s="19"/>
      <c r="G5" s="19" t="s">
        <v>193</v>
      </c>
    </row>
    <row r="6" spans="2:7" ht="23.25" customHeight="1" x14ac:dyDescent="0.3">
      <c r="B6" s="34" t="s">
        <v>194</v>
      </c>
      <c r="C6" s="22" t="s">
        <v>195</v>
      </c>
      <c r="D6" s="1">
        <v>0.05</v>
      </c>
      <c r="E6" s="1"/>
      <c r="F6" s="1"/>
      <c r="G6" s="22" t="s">
        <v>196</v>
      </c>
    </row>
    <row r="7" spans="2:7" ht="23.25" customHeight="1" x14ac:dyDescent="0.3">
      <c r="B7" s="34" t="s">
        <v>197</v>
      </c>
      <c r="C7" s="22" t="s">
        <v>198</v>
      </c>
      <c r="D7" s="1">
        <v>0.1</v>
      </c>
      <c r="E7" s="1"/>
      <c r="F7" s="1"/>
      <c r="G7" s="22" t="s">
        <v>199</v>
      </c>
    </row>
    <row r="8" spans="2:7" ht="23.25" customHeight="1" x14ac:dyDescent="0.3">
      <c r="B8" s="34" t="s">
        <v>200</v>
      </c>
      <c r="C8" s="22" t="s">
        <v>201</v>
      </c>
      <c r="D8" s="1">
        <v>0.15</v>
      </c>
      <c r="E8" s="1"/>
      <c r="F8" s="1"/>
      <c r="G8" s="22" t="s">
        <v>202</v>
      </c>
    </row>
    <row r="9" spans="2:7" ht="15" customHeight="1" x14ac:dyDescent="0.3">
      <c r="B9" s="34" t="s">
        <v>203</v>
      </c>
      <c r="C9" s="22" t="s">
        <v>204</v>
      </c>
      <c r="D9" s="1">
        <v>0.25</v>
      </c>
      <c r="E9" s="1"/>
      <c r="F9" s="1"/>
      <c r="G9" s="22" t="s">
        <v>205</v>
      </c>
    </row>
    <row r="10" spans="2:7" ht="15" customHeight="1" x14ac:dyDescent="0.3">
      <c r="B10" s="34" t="s">
        <v>206</v>
      </c>
      <c r="C10" s="22" t="s">
        <v>207</v>
      </c>
      <c r="D10" s="1">
        <v>0.4</v>
      </c>
      <c r="E10" s="1"/>
      <c r="F10" s="1"/>
      <c r="G10" s="22" t="s">
        <v>208</v>
      </c>
    </row>
    <row r="11" spans="2:7" ht="23.25" customHeight="1" x14ac:dyDescent="0.3">
      <c r="B11" s="34" t="s">
        <v>209</v>
      </c>
      <c r="C11" s="22" t="s">
        <v>210</v>
      </c>
      <c r="D11" s="1">
        <v>0.12</v>
      </c>
      <c r="E11" s="1"/>
      <c r="F11" s="1"/>
      <c r="G11" s="22" t="s">
        <v>211</v>
      </c>
    </row>
    <row r="12" spans="2:7" ht="23.25" customHeight="1" x14ac:dyDescent="0.3">
      <c r="B12" s="34" t="s">
        <v>212</v>
      </c>
      <c r="C12" s="22" t="s">
        <v>213</v>
      </c>
      <c r="D12" s="1">
        <v>0.3</v>
      </c>
      <c r="E12" s="1"/>
      <c r="F12" s="1"/>
      <c r="G12" s="22" t="s">
        <v>214</v>
      </c>
    </row>
    <row r="15" spans="2:7" ht="15" customHeight="1" x14ac:dyDescent="0.3">
      <c r="B15" s="10" t="s">
        <v>215</v>
      </c>
      <c r="C15" s="10"/>
      <c r="D15" s="10"/>
      <c r="E15" s="10"/>
      <c r="F15" s="10"/>
      <c r="G15" s="10"/>
    </row>
    <row r="16" spans="2:7" ht="23.25" customHeight="1" x14ac:dyDescent="0.3">
      <c r="B16" s="19" t="s">
        <v>190</v>
      </c>
      <c r="C16" s="19" t="s">
        <v>216</v>
      </c>
      <c r="D16" s="19" t="s">
        <v>217</v>
      </c>
      <c r="E16" s="19"/>
      <c r="F16" s="19"/>
      <c r="G16" s="19" t="s">
        <v>193</v>
      </c>
    </row>
    <row r="17" spans="2:7" ht="23.25" customHeight="1" x14ac:dyDescent="0.3">
      <c r="B17" s="34" t="s">
        <v>218</v>
      </c>
      <c r="C17" s="22" t="s">
        <v>219</v>
      </c>
      <c r="D17" s="1">
        <v>0.1</v>
      </c>
      <c r="E17" s="1"/>
      <c r="F17" s="1"/>
      <c r="G17" s="22" t="s">
        <v>220</v>
      </c>
    </row>
    <row r="18" spans="2:7" ht="23.25" customHeight="1" x14ac:dyDescent="0.3">
      <c r="B18" s="34" t="s">
        <v>221</v>
      </c>
      <c r="C18" s="22" t="s">
        <v>222</v>
      </c>
      <c r="D18" s="1">
        <v>0.25</v>
      </c>
      <c r="E18" s="1"/>
      <c r="F18" s="1"/>
      <c r="G18" s="22" t="s">
        <v>223</v>
      </c>
    </row>
    <row r="19" spans="2:7" ht="23.25" customHeight="1" x14ac:dyDescent="0.3">
      <c r="B19" s="34" t="s">
        <v>224</v>
      </c>
      <c r="C19" s="22" t="s">
        <v>225</v>
      </c>
      <c r="D19" s="1">
        <v>0.05</v>
      </c>
      <c r="E19" s="1"/>
      <c r="F19" s="1"/>
      <c r="G19" s="22" t="s">
        <v>226</v>
      </c>
    </row>
    <row r="20" spans="2:7" ht="23.25" customHeight="1" x14ac:dyDescent="0.3">
      <c r="B20" s="34" t="s">
        <v>227</v>
      </c>
      <c r="C20" s="22" t="s">
        <v>228</v>
      </c>
      <c r="D20" s="1">
        <v>0.2</v>
      </c>
      <c r="E20" s="1"/>
      <c r="F20" s="1"/>
      <c r="G20" s="22" t="s">
        <v>229</v>
      </c>
    </row>
    <row r="21" spans="2:7" ht="23.25" customHeight="1" x14ac:dyDescent="0.3">
      <c r="B21" s="34" t="s">
        <v>230</v>
      </c>
      <c r="C21" s="22" t="s">
        <v>231</v>
      </c>
      <c r="D21" s="1">
        <v>0.35</v>
      </c>
      <c r="E21" s="1"/>
      <c r="F21" s="1"/>
      <c r="G21" s="22" t="s">
        <v>232</v>
      </c>
    </row>
    <row r="22" spans="2:7" ht="23.25" customHeight="1" x14ac:dyDescent="0.3">
      <c r="B22" s="34" t="s">
        <v>233</v>
      </c>
      <c r="C22" s="22" t="s">
        <v>234</v>
      </c>
      <c r="D22" s="1">
        <v>0.08</v>
      </c>
      <c r="E22" s="1"/>
      <c r="F22" s="1"/>
      <c r="G22" s="22" t="s">
        <v>235</v>
      </c>
    </row>
    <row r="25" spans="2:7" ht="15" customHeight="1" x14ac:dyDescent="0.3">
      <c r="B25" s="10" t="s">
        <v>236</v>
      </c>
      <c r="C25" s="10"/>
      <c r="D25" s="10"/>
      <c r="E25" s="10"/>
      <c r="F25" s="10"/>
      <c r="G25" s="10"/>
    </row>
    <row r="26" spans="2:7" ht="34.5" customHeight="1" x14ac:dyDescent="0.3">
      <c r="B26" s="19" t="s">
        <v>190</v>
      </c>
      <c r="C26" s="19" t="s">
        <v>237</v>
      </c>
      <c r="D26" s="19" t="s">
        <v>238</v>
      </c>
      <c r="E26" s="19" t="s">
        <v>239</v>
      </c>
      <c r="F26" s="19"/>
      <c r="G26" s="19" t="s">
        <v>193</v>
      </c>
    </row>
    <row r="27" spans="2:7" ht="15" customHeight="1" x14ac:dyDescent="0.3">
      <c r="B27" s="34" t="s">
        <v>240</v>
      </c>
      <c r="C27" s="22" t="s">
        <v>241</v>
      </c>
      <c r="D27" s="29">
        <v>0</v>
      </c>
      <c r="E27" s="71">
        <v>0</v>
      </c>
      <c r="F27" s="71"/>
      <c r="G27" s="22" t="s">
        <v>242</v>
      </c>
    </row>
    <row r="28" spans="2:7" ht="15" customHeight="1" x14ac:dyDescent="0.3">
      <c r="B28" s="34" t="s">
        <v>243</v>
      </c>
      <c r="C28" s="22" t="s">
        <v>244</v>
      </c>
      <c r="D28" s="29">
        <v>40</v>
      </c>
      <c r="E28" s="71">
        <v>15</v>
      </c>
      <c r="F28" s="71"/>
      <c r="G28" s="22" t="s">
        <v>245</v>
      </c>
    </row>
    <row r="29" spans="2:7" ht="15" customHeight="1" x14ac:dyDescent="0.3">
      <c r="B29" s="34" t="s">
        <v>246</v>
      </c>
      <c r="C29" s="22" t="s">
        <v>247</v>
      </c>
      <c r="D29" s="29">
        <v>60</v>
      </c>
      <c r="E29" s="71">
        <v>25</v>
      </c>
      <c r="F29" s="71"/>
      <c r="G29" s="22" t="s">
        <v>248</v>
      </c>
    </row>
    <row r="30" spans="2:7" ht="23.25" customHeight="1" x14ac:dyDescent="0.3">
      <c r="B30" s="34" t="s">
        <v>249</v>
      </c>
      <c r="C30" s="22" t="s">
        <v>250</v>
      </c>
      <c r="D30" s="29">
        <v>85</v>
      </c>
      <c r="E30" s="71">
        <v>40</v>
      </c>
      <c r="F30" s="71"/>
      <c r="G30" s="22" t="s">
        <v>251</v>
      </c>
    </row>
    <row r="31" spans="2:7" ht="23.25" customHeight="1" x14ac:dyDescent="0.3">
      <c r="B31" s="34" t="s">
        <v>252</v>
      </c>
      <c r="C31" s="22" t="s">
        <v>253</v>
      </c>
      <c r="D31" s="29">
        <v>100</v>
      </c>
      <c r="E31" s="71">
        <v>60</v>
      </c>
      <c r="F31" s="71"/>
      <c r="G31" s="22" t="s">
        <v>254</v>
      </c>
    </row>
    <row r="34" spans="2:7" ht="15" customHeight="1" x14ac:dyDescent="0.3">
      <c r="B34" s="10" t="s">
        <v>255</v>
      </c>
      <c r="C34" s="10"/>
      <c r="D34" s="10"/>
      <c r="E34" s="10"/>
      <c r="F34" s="10"/>
      <c r="G34" s="10"/>
    </row>
    <row r="35" spans="2:7" ht="15" customHeight="1" x14ac:dyDescent="0.3">
      <c r="B35" s="19" t="s">
        <v>190</v>
      </c>
      <c r="C35" s="19" t="s">
        <v>256</v>
      </c>
      <c r="D35" s="19" t="s">
        <v>257</v>
      </c>
      <c r="E35" s="19"/>
      <c r="F35" s="19"/>
      <c r="G35" s="19" t="s">
        <v>193</v>
      </c>
    </row>
    <row r="36" spans="2:7" ht="23.25" customHeight="1" x14ac:dyDescent="0.3">
      <c r="B36" s="34" t="s">
        <v>258</v>
      </c>
      <c r="C36" s="22" t="s">
        <v>259</v>
      </c>
      <c r="D36" s="1">
        <v>0.05</v>
      </c>
      <c r="E36" s="1"/>
      <c r="F36" s="1"/>
      <c r="G36" s="22" t="s">
        <v>260</v>
      </c>
    </row>
    <row r="37" spans="2:7" ht="23.25" customHeight="1" x14ac:dyDescent="0.3">
      <c r="B37" s="34" t="s">
        <v>261</v>
      </c>
      <c r="C37" s="22" t="s">
        <v>262</v>
      </c>
      <c r="D37" s="1">
        <v>0.04</v>
      </c>
      <c r="E37" s="1"/>
      <c r="F37" s="1"/>
      <c r="G37" s="22" t="s">
        <v>263</v>
      </c>
    </row>
    <row r="38" spans="2:7" ht="34.5" customHeight="1" x14ac:dyDescent="0.3">
      <c r="B38" s="34" t="s">
        <v>264</v>
      </c>
      <c r="C38" s="22" t="s">
        <v>265</v>
      </c>
      <c r="D38" s="1">
        <v>0.12</v>
      </c>
      <c r="E38" s="1"/>
      <c r="F38" s="1"/>
      <c r="G38" s="22" t="s">
        <v>266</v>
      </c>
    </row>
    <row r="39" spans="2:7" ht="23.25" customHeight="1" x14ac:dyDescent="0.3">
      <c r="B39" s="34" t="s">
        <v>267</v>
      </c>
      <c r="C39" s="22" t="s">
        <v>268</v>
      </c>
      <c r="D39" s="1">
        <v>0.03</v>
      </c>
      <c r="E39" s="1"/>
      <c r="F39" s="1"/>
      <c r="G39" s="22" t="s">
        <v>269</v>
      </c>
    </row>
    <row r="41" spans="2:7" ht="27.75" customHeight="1" x14ac:dyDescent="0.3">
      <c r="B41" s="9" t="s">
        <v>270</v>
      </c>
      <c r="C41" s="9"/>
      <c r="D41" s="9"/>
      <c r="E41" s="9"/>
      <c r="F41" s="9"/>
      <c r="G41" s="9"/>
    </row>
  </sheetData>
  <mergeCells count="28">
    <mergeCell ref="D38:F38"/>
    <mergeCell ref="D39:F39"/>
    <mergeCell ref="B41:G41"/>
    <mergeCell ref="E30:F30"/>
    <mergeCell ref="E31:F31"/>
    <mergeCell ref="B34:G34"/>
    <mergeCell ref="D36:F36"/>
    <mergeCell ref="D37:F37"/>
    <mergeCell ref="D22:F22"/>
    <mergeCell ref="B25:G25"/>
    <mergeCell ref="E27:F27"/>
    <mergeCell ref="E28:F28"/>
    <mergeCell ref="E29:F29"/>
    <mergeCell ref="D17:F17"/>
    <mergeCell ref="D18:F18"/>
    <mergeCell ref="D19:F19"/>
    <mergeCell ref="D20:F20"/>
    <mergeCell ref="D21:F21"/>
    <mergeCell ref="D9:F9"/>
    <mergeCell ref="D10:F10"/>
    <mergeCell ref="D11:F11"/>
    <mergeCell ref="D12:F12"/>
    <mergeCell ref="B15:G15"/>
    <mergeCell ref="B2:G2"/>
    <mergeCell ref="B4:G4"/>
    <mergeCell ref="D6:F6"/>
    <mergeCell ref="D7:F7"/>
    <mergeCell ref="D8:F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S26"/>
  <sheetViews>
    <sheetView zoomScaleNormal="100" workbookViewId="0"/>
  </sheetViews>
  <sheetFormatPr baseColWidth="10" defaultColWidth="8.6640625" defaultRowHeight="14.4" x14ac:dyDescent="0.3"/>
  <cols>
    <col min="1" max="1" width="3" customWidth="1"/>
    <col min="2" max="2" width="12" customWidth="1"/>
    <col min="3" max="3" width="30" customWidth="1"/>
    <col min="4" max="4" width="12" customWidth="1"/>
    <col min="5" max="6" width="10" customWidth="1"/>
    <col min="7" max="8" width="12" customWidth="1"/>
    <col min="9" max="9" width="10" customWidth="1"/>
    <col min="10" max="11" width="12" customWidth="1"/>
    <col min="12" max="13" width="13" customWidth="1"/>
    <col min="14" max="19" width="12" customWidth="1"/>
  </cols>
  <sheetData>
    <row r="2" spans="2:19" ht="24" customHeight="1" x14ac:dyDescent="0.3">
      <c r="B2" s="14" t="s">
        <v>271</v>
      </c>
      <c r="C2" s="14"/>
      <c r="D2" s="14"/>
      <c r="E2" s="14"/>
      <c r="F2" s="14"/>
      <c r="G2" s="14"/>
      <c r="H2" s="14"/>
      <c r="I2" s="14"/>
      <c r="J2" s="14"/>
      <c r="K2" s="14"/>
      <c r="L2" s="14"/>
      <c r="M2" s="14"/>
      <c r="N2" s="14"/>
      <c r="O2" s="14"/>
      <c r="P2" s="14"/>
      <c r="Q2" s="14"/>
      <c r="R2" s="14"/>
      <c r="S2" s="14"/>
    </row>
    <row r="3" spans="2:19" ht="15" customHeight="1" x14ac:dyDescent="0.3">
      <c r="B3" s="26" t="s">
        <v>272</v>
      </c>
    </row>
    <row r="5" spans="2:19" ht="45.75" customHeight="1" x14ac:dyDescent="0.3">
      <c r="B5" s="19" t="s">
        <v>273</v>
      </c>
      <c r="C5" s="19" t="s">
        <v>274</v>
      </c>
      <c r="D5" s="19" t="s">
        <v>275</v>
      </c>
      <c r="E5" s="19" t="s">
        <v>276</v>
      </c>
      <c r="F5" s="19" t="s">
        <v>277</v>
      </c>
      <c r="G5" s="19" t="s">
        <v>278</v>
      </c>
      <c r="H5" s="19" t="s">
        <v>279</v>
      </c>
      <c r="I5" s="19" t="s">
        <v>280</v>
      </c>
      <c r="J5" s="19" t="s">
        <v>281</v>
      </c>
      <c r="K5" s="19" t="s">
        <v>282</v>
      </c>
      <c r="L5" s="19" t="s">
        <v>283</v>
      </c>
      <c r="M5" s="19" t="s">
        <v>284</v>
      </c>
      <c r="N5" s="19" t="s">
        <v>285</v>
      </c>
      <c r="O5" s="19" t="s">
        <v>286</v>
      </c>
      <c r="P5" s="19" t="s">
        <v>287</v>
      </c>
      <c r="Q5" s="19" t="s">
        <v>288</v>
      </c>
      <c r="R5" s="19" t="s">
        <v>163</v>
      </c>
      <c r="S5" s="19" t="s">
        <v>289</v>
      </c>
    </row>
    <row r="6" spans="2:19" ht="15" customHeight="1" x14ac:dyDescent="0.3">
      <c r="B6" s="27" t="s">
        <v>290</v>
      </c>
      <c r="C6" s="37" t="s">
        <v>291</v>
      </c>
      <c r="D6" s="29">
        <v>1250</v>
      </c>
      <c r="E6" s="27" t="s">
        <v>197</v>
      </c>
      <c r="F6" s="27" t="s">
        <v>218</v>
      </c>
      <c r="G6" s="27" t="s">
        <v>246</v>
      </c>
      <c r="H6" s="38">
        <v>1</v>
      </c>
      <c r="I6" s="27" t="s">
        <v>169</v>
      </c>
      <c r="J6" s="29">
        <v>75</v>
      </c>
      <c r="K6" s="27" t="s">
        <v>182</v>
      </c>
      <c r="L6" s="39">
        <f>IF($B6="","",J6+IF(H6=1,VLOOKUP(G6,'3_FACTORES'!$B$27:$E$31,4,0),0))</f>
        <v>100</v>
      </c>
      <c r="M6" s="32">
        <f>IF($B6="","",VLOOKUP(I6,'2_HOJA_TECNICA'!$B$6:$K$13,5,0)*1000/L6)</f>
        <v>6.2</v>
      </c>
      <c r="N6" s="33">
        <f t="shared" ref="N6:N25" si="0">IF($B6="","",D6/M6)</f>
        <v>201.61290322580643</v>
      </c>
      <c r="O6" s="40">
        <f>IF($B6="","",1-(1-VLOOKUP(E6,'3_FACTORES'!$B$6:$D$12,3,0))*(1-VLOOKUP(F6,'3_FACTORES'!$B$17:$D$22,3,0))*(1-IF(H6&gt;1,'3_FACTORES'!$D$36,0))*(1-'3_FACTORES'!$D$37)*(1-IF(VLOOKUP(I6,'2_HOJA_TECNICA'!$B$6:$K$13,10,0)="SI",'3_FACTORES'!$D$38,0))*(1-IF(K6="SI",'3_FACTORES'!$D$39,0)))</f>
        <v>0.24572799999999995</v>
      </c>
      <c r="P6" s="33">
        <f t="shared" ref="P6:P25" si="1">IF($B6="","",N6/(1-O6))</f>
        <v>267.29469372561414</v>
      </c>
      <c r="Q6" s="33">
        <f t="shared" ref="Q6:Q25" si="2">IF($B6="","",P6-N6)</f>
        <v>65.681790499807704</v>
      </c>
      <c r="R6" s="41">
        <f>IF($B6="","",VLOOKUP(I6,'2_HOJA_TECNICA'!$B$6:$K$13,9,0))</f>
        <v>18.899999999999999</v>
      </c>
      <c r="S6" s="42">
        <f t="shared" ref="S6:S25" si="3">IF($B6="","",P6/R6)</f>
        <v>14.142576387598632</v>
      </c>
    </row>
    <row r="7" spans="2:19" ht="15" customHeight="1" x14ac:dyDescent="0.3">
      <c r="B7" s="27" t="s">
        <v>290</v>
      </c>
      <c r="C7" s="37" t="s">
        <v>291</v>
      </c>
      <c r="D7" s="29">
        <v>1250</v>
      </c>
      <c r="E7" s="27" t="s">
        <v>197</v>
      </c>
      <c r="F7" s="27" t="s">
        <v>218</v>
      </c>
      <c r="G7" s="27" t="s">
        <v>246</v>
      </c>
      <c r="H7" s="38">
        <v>2</v>
      </c>
      <c r="I7" s="27" t="s">
        <v>173</v>
      </c>
      <c r="J7" s="29">
        <v>125</v>
      </c>
      <c r="K7" s="27" t="s">
        <v>117</v>
      </c>
      <c r="L7" s="39">
        <f>IF($B7="","",J7+IF(H7=1,VLOOKUP(G7,'3_FACTORES'!$B$27:$E$31,4,0),0))</f>
        <v>125</v>
      </c>
      <c r="M7" s="32">
        <f>IF($B7="","",VLOOKUP(I7,'2_HOJA_TECNICA'!$B$6:$K$13,5,0)*1000/L7)</f>
        <v>6.4</v>
      </c>
      <c r="N7" s="33">
        <f t="shared" si="0"/>
        <v>195.3125</v>
      </c>
      <c r="O7" s="40">
        <f>IF($B7="","",1-(1-VLOOKUP(E7,'3_FACTORES'!$B$6:$D$12,3,0))*(1-VLOOKUP(F7,'3_FACTORES'!$B$17:$D$22,3,0))*(1-IF(H7&gt;1,'3_FACTORES'!$D$36,0))*(1-'3_FACTORES'!$D$37)*(1-IF(VLOOKUP(I7,'2_HOJA_TECNICA'!$B$6:$K$13,10,0)="SI",'3_FACTORES'!$D$38,0))*(1-IF(K7="SI",'3_FACTORES'!$D$39,0)))</f>
        <v>0.26128000000000007</v>
      </c>
      <c r="P7" s="33">
        <f t="shared" si="1"/>
        <v>264.39313948451377</v>
      </c>
      <c r="Q7" s="33">
        <f t="shared" si="2"/>
        <v>69.080639484513767</v>
      </c>
      <c r="R7" s="41">
        <f>IF($B7="","",VLOOKUP(I7,'2_HOJA_TECNICA'!$B$6:$K$13,9,0))</f>
        <v>18.899999999999999</v>
      </c>
      <c r="S7" s="42">
        <f t="shared" si="3"/>
        <v>13.989054999180624</v>
      </c>
    </row>
    <row r="8" spans="2:19" ht="15" customHeight="1" x14ac:dyDescent="0.3">
      <c r="B8" s="27" t="s">
        <v>290</v>
      </c>
      <c r="C8" s="37" t="s">
        <v>291</v>
      </c>
      <c r="D8" s="29">
        <v>1250</v>
      </c>
      <c r="E8" s="27" t="s">
        <v>197</v>
      </c>
      <c r="F8" s="27" t="s">
        <v>218</v>
      </c>
      <c r="G8" s="27" t="s">
        <v>246</v>
      </c>
      <c r="H8" s="38">
        <v>3</v>
      </c>
      <c r="I8" s="27" t="s">
        <v>176</v>
      </c>
      <c r="J8" s="29">
        <v>75</v>
      </c>
      <c r="K8" s="27" t="s">
        <v>117</v>
      </c>
      <c r="L8" s="39">
        <f>IF($B8="","",J8+IF(H8=1,VLOOKUP(G8,'3_FACTORES'!$B$27:$E$31,4,0),0))</f>
        <v>75</v>
      </c>
      <c r="M8" s="32">
        <f>IF($B8="","",VLOOKUP(I8,'2_HOJA_TECNICA'!$B$6:$K$13,5,0)*1000/L8)</f>
        <v>8</v>
      </c>
      <c r="N8" s="33">
        <f t="shared" si="0"/>
        <v>156.25</v>
      </c>
      <c r="O8" s="40">
        <f>IF($B8="","",1-(1-VLOOKUP(E8,'3_FACTORES'!$B$6:$D$12,3,0))*(1-VLOOKUP(F8,'3_FACTORES'!$B$17:$D$22,3,0))*(1-IF(H8&gt;1,'3_FACTORES'!$D$36,0))*(1-'3_FACTORES'!$D$37)*(1-IF(VLOOKUP(I8,'2_HOJA_TECNICA'!$B$6:$K$13,10,0)="SI",'3_FACTORES'!$D$38,0))*(1-IF(K8="SI",'3_FACTORES'!$D$39,0)))</f>
        <v>0.26128000000000007</v>
      </c>
      <c r="P8" s="33">
        <f t="shared" si="1"/>
        <v>211.51451158761103</v>
      </c>
      <c r="Q8" s="33">
        <f t="shared" si="2"/>
        <v>55.264511587611025</v>
      </c>
      <c r="R8" s="41">
        <f>IF($B8="","",VLOOKUP(I8,'2_HOJA_TECNICA'!$B$6:$K$13,9,0))</f>
        <v>18.899999999999999</v>
      </c>
      <c r="S8" s="42">
        <f t="shared" si="3"/>
        <v>11.191243999344499</v>
      </c>
    </row>
    <row r="9" spans="2:19" ht="15" customHeight="1" x14ac:dyDescent="0.3">
      <c r="B9" s="27" t="s">
        <v>292</v>
      </c>
      <c r="C9" s="37" t="s">
        <v>293</v>
      </c>
      <c r="D9" s="29">
        <v>800</v>
      </c>
      <c r="E9" s="27" t="s">
        <v>206</v>
      </c>
      <c r="F9" s="27" t="s">
        <v>218</v>
      </c>
      <c r="G9" s="27" t="s">
        <v>246</v>
      </c>
      <c r="H9" s="38">
        <v>1</v>
      </c>
      <c r="I9" s="27" t="s">
        <v>169</v>
      </c>
      <c r="J9" s="29">
        <v>75</v>
      </c>
      <c r="K9" s="27" t="s">
        <v>182</v>
      </c>
      <c r="L9" s="39">
        <f>IF($B9="","",J9+IF(H9=1,VLOOKUP(G9,'3_FACTORES'!$B$27:$E$31,4,0),0))</f>
        <v>100</v>
      </c>
      <c r="M9" s="32">
        <f>IF($B9="","",VLOOKUP(I9,'2_HOJA_TECNICA'!$B$6:$K$13,5,0)*1000/L9)</f>
        <v>6.2</v>
      </c>
      <c r="N9" s="33">
        <f t="shared" si="0"/>
        <v>129.03225806451613</v>
      </c>
      <c r="O9" s="40">
        <f>IF($B9="","",1-(1-VLOOKUP(E9,'3_FACTORES'!$B$6:$D$12,3,0))*(1-VLOOKUP(F9,'3_FACTORES'!$B$17:$D$22,3,0))*(1-IF(H9&gt;1,'3_FACTORES'!$D$36,0))*(1-'3_FACTORES'!$D$37)*(1-IF(VLOOKUP(I9,'2_HOJA_TECNICA'!$B$6:$K$13,10,0)="SI",'3_FACTORES'!$D$38,0))*(1-IF(K9="SI",'3_FACTORES'!$D$39,0)))</f>
        <v>0.49715200000000004</v>
      </c>
      <c r="P9" s="33">
        <f t="shared" si="1"/>
        <v>256.60290597658962</v>
      </c>
      <c r="Q9" s="33">
        <f t="shared" si="2"/>
        <v>127.5706479120735</v>
      </c>
      <c r="R9" s="41">
        <f>IF($B9="","",VLOOKUP(I9,'2_HOJA_TECNICA'!$B$6:$K$13,9,0))</f>
        <v>18.899999999999999</v>
      </c>
      <c r="S9" s="42">
        <f t="shared" si="3"/>
        <v>13.57687333209469</v>
      </c>
    </row>
    <row r="10" spans="2:19" ht="15" customHeight="1" x14ac:dyDescent="0.3">
      <c r="B10" s="27" t="s">
        <v>292</v>
      </c>
      <c r="C10" s="37" t="s">
        <v>293</v>
      </c>
      <c r="D10" s="29">
        <v>800</v>
      </c>
      <c r="E10" s="27" t="s">
        <v>206</v>
      </c>
      <c r="F10" s="27" t="s">
        <v>218</v>
      </c>
      <c r="G10" s="27" t="s">
        <v>246</v>
      </c>
      <c r="H10" s="38">
        <v>2</v>
      </c>
      <c r="I10" s="27" t="s">
        <v>176</v>
      </c>
      <c r="J10" s="29">
        <v>75</v>
      </c>
      <c r="K10" s="27" t="s">
        <v>117</v>
      </c>
      <c r="L10" s="39">
        <f>IF($B10="","",J10+IF(H10=1,VLOOKUP(G10,'3_FACTORES'!$B$27:$E$31,4,0),0))</f>
        <v>75</v>
      </c>
      <c r="M10" s="32">
        <f>IF($B10="","",VLOOKUP(I10,'2_HOJA_TECNICA'!$B$6:$K$13,5,0)*1000/L10)</f>
        <v>8</v>
      </c>
      <c r="N10" s="33">
        <f t="shared" si="0"/>
        <v>100</v>
      </c>
      <c r="O10" s="40">
        <f>IF($B10="","",1-(1-VLOOKUP(E10,'3_FACTORES'!$B$6:$D$12,3,0))*(1-VLOOKUP(F10,'3_FACTORES'!$B$17:$D$22,3,0))*(1-IF(H10&gt;1,'3_FACTORES'!$D$36,0))*(1-'3_FACTORES'!$D$37)*(1-IF(VLOOKUP(I10,'2_HOJA_TECNICA'!$B$6:$K$13,10,0)="SI",'3_FACTORES'!$D$38,0))*(1-IF(K10="SI",'3_FACTORES'!$D$39,0)))</f>
        <v>0.50751999999999997</v>
      </c>
      <c r="P10" s="33">
        <f t="shared" si="1"/>
        <v>203.05393112410655</v>
      </c>
      <c r="Q10" s="33">
        <f t="shared" si="2"/>
        <v>103.05393112410655</v>
      </c>
      <c r="R10" s="41">
        <f>IF($B10="","",VLOOKUP(I10,'2_HOJA_TECNICA'!$B$6:$K$13,9,0))</f>
        <v>18.899999999999999</v>
      </c>
      <c r="S10" s="42">
        <f t="shared" si="3"/>
        <v>10.743594239370719</v>
      </c>
    </row>
    <row r="11" spans="2:19" ht="26.25" customHeight="1" x14ac:dyDescent="0.3">
      <c r="B11" s="27" t="s">
        <v>294</v>
      </c>
      <c r="C11" s="37" t="s">
        <v>295</v>
      </c>
      <c r="D11" s="29">
        <v>600</v>
      </c>
      <c r="E11" s="27" t="s">
        <v>197</v>
      </c>
      <c r="F11" s="27" t="s">
        <v>218</v>
      </c>
      <c r="G11" s="27" t="s">
        <v>252</v>
      </c>
      <c r="H11" s="38">
        <v>1</v>
      </c>
      <c r="I11" s="27" t="s">
        <v>169</v>
      </c>
      <c r="J11" s="29">
        <v>75</v>
      </c>
      <c r="K11" s="27" t="s">
        <v>182</v>
      </c>
      <c r="L11" s="39">
        <f>IF($B11="","",J11+IF(H11=1,VLOOKUP(G11,'3_FACTORES'!$B$27:$E$31,4,0),0))</f>
        <v>135</v>
      </c>
      <c r="M11" s="32">
        <f>IF($B11="","",VLOOKUP(I11,'2_HOJA_TECNICA'!$B$6:$K$13,5,0)*1000/L11)</f>
        <v>4.5925925925925926</v>
      </c>
      <c r="N11" s="33">
        <f t="shared" si="0"/>
        <v>130.64516129032259</v>
      </c>
      <c r="O11" s="40">
        <f>IF($B11="","",1-(1-VLOOKUP(E11,'3_FACTORES'!$B$6:$D$12,3,0))*(1-VLOOKUP(F11,'3_FACTORES'!$B$17:$D$22,3,0))*(1-IF(H11&gt;1,'3_FACTORES'!$D$36,0))*(1-'3_FACTORES'!$D$37)*(1-IF(VLOOKUP(I11,'2_HOJA_TECNICA'!$B$6:$K$13,10,0)="SI",'3_FACTORES'!$D$38,0))*(1-IF(K11="SI",'3_FACTORES'!$D$39,0)))</f>
        <v>0.24572799999999995</v>
      </c>
      <c r="P11" s="33">
        <f t="shared" si="1"/>
        <v>173.20696153419797</v>
      </c>
      <c r="Q11" s="33">
        <f t="shared" si="2"/>
        <v>42.561800243875382</v>
      </c>
      <c r="R11" s="41">
        <f>IF($B11="","",VLOOKUP(I11,'2_HOJA_TECNICA'!$B$6:$K$13,9,0))</f>
        <v>18.899999999999999</v>
      </c>
      <c r="S11" s="42">
        <f t="shared" si="3"/>
        <v>9.1643894991639154</v>
      </c>
    </row>
    <row r="12" spans="2:19" ht="26.25" customHeight="1" x14ac:dyDescent="0.3">
      <c r="B12" s="27" t="s">
        <v>294</v>
      </c>
      <c r="C12" s="37" t="s">
        <v>296</v>
      </c>
      <c r="D12" s="29">
        <v>600</v>
      </c>
      <c r="E12" s="27" t="s">
        <v>197</v>
      </c>
      <c r="F12" s="27" t="s">
        <v>218</v>
      </c>
      <c r="G12" s="27" t="s">
        <v>252</v>
      </c>
      <c r="H12" s="38">
        <v>2</v>
      </c>
      <c r="I12" s="27" t="s">
        <v>179</v>
      </c>
      <c r="J12" s="29">
        <v>700</v>
      </c>
      <c r="K12" s="27" t="s">
        <v>117</v>
      </c>
      <c r="L12" s="39">
        <f>IF($B12="","",J12+IF(H12=1,VLOOKUP(G12,'3_FACTORES'!$B$27:$E$31,4,0),0))</f>
        <v>700</v>
      </c>
      <c r="M12" s="32">
        <f>IF($B12="","",VLOOKUP(I12,'2_HOJA_TECNICA'!$B$6:$K$13,5,0)*1000/L12)</f>
        <v>0.98571428571428577</v>
      </c>
      <c r="N12" s="33">
        <f t="shared" si="0"/>
        <v>608.695652173913</v>
      </c>
      <c r="O12" s="40">
        <f>IF($B12="","",1-(1-VLOOKUP(E12,'3_FACTORES'!$B$6:$D$12,3,0))*(1-VLOOKUP(F12,'3_FACTORES'!$B$17:$D$22,3,0))*(1-IF(H12&gt;1,'3_FACTORES'!$D$36,0))*(1-'3_FACTORES'!$D$37)*(1-IF(VLOOKUP(I12,'2_HOJA_TECNICA'!$B$6:$K$13,10,0)="SI",'3_FACTORES'!$D$38,0))*(1-IF(K12="SI",'3_FACTORES'!$D$39,0)))</f>
        <v>0.34992640000000008</v>
      </c>
      <c r="P12" s="33">
        <f t="shared" si="1"/>
        <v>936.3488260004915</v>
      </c>
      <c r="Q12" s="33">
        <f t="shared" si="2"/>
        <v>327.6531738265785</v>
      </c>
      <c r="R12" s="41">
        <f>IF($B12="","",VLOOKUP(I12,'2_HOJA_TECNICA'!$B$6:$K$13,9,0))</f>
        <v>25</v>
      </c>
      <c r="S12" s="42">
        <f t="shared" si="3"/>
        <v>37.453953040019663</v>
      </c>
    </row>
    <row r="13" spans="2:19" ht="15" customHeight="1" x14ac:dyDescent="0.3">
      <c r="B13" s="27" t="s">
        <v>294</v>
      </c>
      <c r="C13" s="27" t="s">
        <v>297</v>
      </c>
      <c r="D13" s="29">
        <v>600</v>
      </c>
      <c r="E13" s="27" t="s">
        <v>197</v>
      </c>
      <c r="F13" s="27" t="s">
        <v>233</v>
      </c>
      <c r="G13" s="27" t="s">
        <v>252</v>
      </c>
      <c r="H13" s="29">
        <v>3</v>
      </c>
      <c r="I13" s="27" t="s">
        <v>179</v>
      </c>
      <c r="J13" s="29">
        <v>300</v>
      </c>
      <c r="K13" s="27" t="s">
        <v>117</v>
      </c>
      <c r="L13" s="39">
        <f>IF($B13="","",J13+IF(H13=1,VLOOKUP(G13,'3_FACTORES'!$B$27:$E$31,4,0),0))</f>
        <v>300</v>
      </c>
      <c r="M13" s="32">
        <f>IF($B13="","",VLOOKUP(I13,'2_HOJA_TECNICA'!$B$6:$K$13,5,0)*1000/L13)</f>
        <v>2.2999999999999998</v>
      </c>
      <c r="N13" s="33">
        <f t="shared" si="0"/>
        <v>260.86956521739131</v>
      </c>
      <c r="O13" s="40">
        <f>IF($B13="","",1-(1-VLOOKUP(E13,'3_FACTORES'!$B$6:$D$12,3,0))*(1-VLOOKUP(F13,'3_FACTORES'!$B$17:$D$22,3,0))*(1-IF(H13&gt;1,'3_FACTORES'!$D$36,0))*(1-'3_FACTORES'!$D$37)*(1-IF(VLOOKUP(I13,'2_HOJA_TECNICA'!$B$6:$K$13,10,0)="SI",'3_FACTORES'!$D$38,0))*(1-IF(K13="SI",'3_FACTORES'!$D$39,0)))</f>
        <v>0.33548031999999994</v>
      </c>
      <c r="P13" s="33">
        <f t="shared" si="1"/>
        <v>392.56860717411905</v>
      </c>
      <c r="Q13" s="33">
        <f t="shared" si="2"/>
        <v>131.69904195672774</v>
      </c>
      <c r="R13" s="41">
        <f>IF($B13="","",VLOOKUP(I13,'2_HOJA_TECNICA'!$B$6:$K$13,9,0))</f>
        <v>25</v>
      </c>
      <c r="S13" s="42">
        <f t="shared" si="3"/>
        <v>15.702744286964762</v>
      </c>
    </row>
    <row r="14" spans="2:19" ht="15" customHeight="1" x14ac:dyDescent="0.3">
      <c r="B14" s="27"/>
      <c r="C14" s="27"/>
      <c r="D14" s="27"/>
      <c r="E14" s="27"/>
      <c r="F14" s="27"/>
      <c r="G14" s="27"/>
      <c r="H14" s="27"/>
      <c r="I14" s="27"/>
      <c r="J14" s="27"/>
      <c r="K14" s="27"/>
      <c r="L14" s="39" t="str">
        <f>IF($B14="","",J14+IF(H14=1,VLOOKUP(G14,'3_FACTORES'!$B$27:$E$31,4,0),0))</f>
        <v/>
      </c>
      <c r="M14" s="32" t="str">
        <f>IF($B14="","",VLOOKUP(I14,'2_HOJA_TECNICA'!$B$6:$K$13,5,0)*1000/L14)</f>
        <v/>
      </c>
      <c r="N14" s="33" t="str">
        <f t="shared" si="0"/>
        <v/>
      </c>
      <c r="O14" s="40" t="str">
        <f>IF($B14="","",1-(1-VLOOKUP(E14,'3_FACTORES'!$B$6:$D$12,3,0))*(1-VLOOKUP(F14,'3_FACTORES'!$B$17:$D$22,3,0))*(1-IF(H14&gt;1,'3_FACTORES'!$D$36,0))*(1-'3_FACTORES'!$D$37)*(1-IF(VLOOKUP(I14,'2_HOJA_TECNICA'!$B$6:$K$13,10,0)="SI",'3_FACTORES'!$D$38,0))*(1-IF(K14="SI",'3_FACTORES'!$D$39,0)))</f>
        <v/>
      </c>
      <c r="P14" s="33" t="str">
        <f t="shared" si="1"/>
        <v/>
      </c>
      <c r="Q14" s="33" t="str">
        <f t="shared" si="2"/>
        <v/>
      </c>
      <c r="R14" s="41" t="str">
        <f>IF($B14="","",VLOOKUP(I14,'2_HOJA_TECNICA'!$B$6:$K$13,9,0))</f>
        <v/>
      </c>
      <c r="S14" s="42" t="str">
        <f t="shared" si="3"/>
        <v/>
      </c>
    </row>
    <row r="15" spans="2:19" ht="15" customHeight="1" x14ac:dyDescent="0.3">
      <c r="B15" s="27"/>
      <c r="C15" s="27"/>
      <c r="D15" s="27"/>
      <c r="E15" s="27"/>
      <c r="F15" s="27"/>
      <c r="G15" s="27"/>
      <c r="H15" s="27"/>
      <c r="I15" s="27"/>
      <c r="J15" s="27"/>
      <c r="K15" s="27"/>
      <c r="L15" s="39" t="str">
        <f>IF($B15="","",J15+IF(H15=1,VLOOKUP(G15,'3_FACTORES'!$B$27:$E$31,4,0),0))</f>
        <v/>
      </c>
      <c r="M15" s="32" t="str">
        <f>IF($B15="","",VLOOKUP(I15,'2_HOJA_TECNICA'!$B$6:$K$13,5,0)*1000/L15)</f>
        <v/>
      </c>
      <c r="N15" s="33" t="str">
        <f t="shared" si="0"/>
        <v/>
      </c>
      <c r="O15" s="40" t="str">
        <f>IF($B15="","",1-(1-VLOOKUP(E15,'3_FACTORES'!$B$6:$D$12,3,0))*(1-VLOOKUP(F15,'3_FACTORES'!$B$17:$D$22,3,0))*(1-IF(H15&gt;1,'3_FACTORES'!$D$36,0))*(1-'3_FACTORES'!$D$37)*(1-IF(VLOOKUP(I15,'2_HOJA_TECNICA'!$B$6:$K$13,10,0)="SI",'3_FACTORES'!$D$38,0))*(1-IF(K15="SI",'3_FACTORES'!$D$39,0)))</f>
        <v/>
      </c>
      <c r="P15" s="33" t="str">
        <f t="shared" si="1"/>
        <v/>
      </c>
      <c r="Q15" s="33" t="str">
        <f t="shared" si="2"/>
        <v/>
      </c>
      <c r="R15" s="41" t="str">
        <f>IF($B15="","",VLOOKUP(I15,'2_HOJA_TECNICA'!$B$6:$K$13,9,0))</f>
        <v/>
      </c>
      <c r="S15" s="42" t="str">
        <f t="shared" si="3"/>
        <v/>
      </c>
    </row>
    <row r="16" spans="2:19" ht="15" customHeight="1" x14ac:dyDescent="0.3">
      <c r="B16" s="27"/>
      <c r="C16" s="27"/>
      <c r="D16" s="27"/>
      <c r="E16" s="27"/>
      <c r="F16" s="27"/>
      <c r="G16" s="27"/>
      <c r="H16" s="27"/>
      <c r="I16" s="27"/>
      <c r="J16" s="27"/>
      <c r="K16" s="27"/>
      <c r="L16" s="39" t="str">
        <f>IF($B16="","",J16+IF(H16=1,VLOOKUP(G16,'3_FACTORES'!$B$27:$E$31,4,0),0))</f>
        <v/>
      </c>
      <c r="M16" s="32" t="str">
        <f>IF($B16="","",VLOOKUP(I16,'2_HOJA_TECNICA'!$B$6:$K$13,5,0)*1000/L16)</f>
        <v/>
      </c>
      <c r="N16" s="33" t="str">
        <f t="shared" si="0"/>
        <v/>
      </c>
      <c r="O16" s="40" t="str">
        <f>IF($B16="","",1-(1-VLOOKUP(E16,'3_FACTORES'!$B$6:$D$12,3,0))*(1-VLOOKUP(F16,'3_FACTORES'!$B$17:$D$22,3,0))*(1-IF(H16&gt;1,'3_FACTORES'!$D$36,0))*(1-'3_FACTORES'!$D$37)*(1-IF(VLOOKUP(I16,'2_HOJA_TECNICA'!$B$6:$K$13,10,0)="SI",'3_FACTORES'!$D$38,0))*(1-IF(K16="SI",'3_FACTORES'!$D$39,0)))</f>
        <v/>
      </c>
      <c r="P16" s="33" t="str">
        <f t="shared" si="1"/>
        <v/>
      </c>
      <c r="Q16" s="33" t="str">
        <f t="shared" si="2"/>
        <v/>
      </c>
      <c r="R16" s="41" t="str">
        <f>IF($B16="","",VLOOKUP(I16,'2_HOJA_TECNICA'!$B$6:$K$13,9,0))</f>
        <v/>
      </c>
      <c r="S16" s="42" t="str">
        <f t="shared" si="3"/>
        <v/>
      </c>
    </row>
    <row r="17" spans="2:19" ht="15" customHeight="1" x14ac:dyDescent="0.3">
      <c r="B17" s="27"/>
      <c r="C17" s="27"/>
      <c r="D17" s="27"/>
      <c r="E17" s="27"/>
      <c r="F17" s="27"/>
      <c r="G17" s="27"/>
      <c r="H17" s="27"/>
      <c r="I17" s="27"/>
      <c r="J17" s="27"/>
      <c r="K17" s="27"/>
      <c r="L17" s="39" t="str">
        <f>IF($B17="","",J17+IF(H17=1,VLOOKUP(G17,'3_FACTORES'!$B$27:$E$31,4,0),0))</f>
        <v/>
      </c>
      <c r="M17" s="32" t="str">
        <f>IF($B17="","",VLOOKUP(I17,'2_HOJA_TECNICA'!$B$6:$K$13,5,0)*1000/L17)</f>
        <v/>
      </c>
      <c r="N17" s="33" t="str">
        <f t="shared" si="0"/>
        <v/>
      </c>
      <c r="O17" s="40" t="str">
        <f>IF($B17="","",1-(1-VLOOKUP(E17,'3_FACTORES'!$B$6:$D$12,3,0))*(1-VLOOKUP(F17,'3_FACTORES'!$B$17:$D$22,3,0))*(1-IF(H17&gt;1,'3_FACTORES'!$D$36,0))*(1-'3_FACTORES'!$D$37)*(1-IF(VLOOKUP(I17,'2_HOJA_TECNICA'!$B$6:$K$13,10,0)="SI",'3_FACTORES'!$D$38,0))*(1-IF(K17="SI",'3_FACTORES'!$D$39,0)))</f>
        <v/>
      </c>
      <c r="P17" s="33" t="str">
        <f t="shared" si="1"/>
        <v/>
      </c>
      <c r="Q17" s="33" t="str">
        <f t="shared" si="2"/>
        <v/>
      </c>
      <c r="R17" s="41" t="str">
        <f>IF($B17="","",VLOOKUP(I17,'2_HOJA_TECNICA'!$B$6:$K$13,9,0))</f>
        <v/>
      </c>
      <c r="S17" s="42" t="str">
        <f t="shared" si="3"/>
        <v/>
      </c>
    </row>
    <row r="18" spans="2:19" ht="15" customHeight="1" x14ac:dyDescent="0.3">
      <c r="B18" s="27"/>
      <c r="C18" s="27"/>
      <c r="D18" s="27"/>
      <c r="E18" s="27"/>
      <c r="F18" s="27"/>
      <c r="G18" s="27"/>
      <c r="H18" s="27"/>
      <c r="I18" s="27"/>
      <c r="J18" s="27"/>
      <c r="K18" s="27"/>
      <c r="L18" s="39" t="str">
        <f>IF($B18="","",J18+IF(H18=1,VLOOKUP(G18,'3_FACTORES'!$B$27:$E$31,4,0),0))</f>
        <v/>
      </c>
      <c r="M18" s="32" t="str">
        <f>IF($B18="","",VLOOKUP(I18,'2_HOJA_TECNICA'!$B$6:$K$13,5,0)*1000/L18)</f>
        <v/>
      </c>
      <c r="N18" s="33" t="str">
        <f t="shared" si="0"/>
        <v/>
      </c>
      <c r="O18" s="40" t="str">
        <f>IF($B18="","",1-(1-VLOOKUP(E18,'3_FACTORES'!$B$6:$D$12,3,0))*(1-VLOOKUP(F18,'3_FACTORES'!$B$17:$D$22,3,0))*(1-IF(H18&gt;1,'3_FACTORES'!$D$36,0))*(1-'3_FACTORES'!$D$37)*(1-IF(VLOOKUP(I18,'2_HOJA_TECNICA'!$B$6:$K$13,10,0)="SI",'3_FACTORES'!$D$38,0))*(1-IF(K18="SI",'3_FACTORES'!$D$39,0)))</f>
        <v/>
      </c>
      <c r="P18" s="33" t="str">
        <f t="shared" si="1"/>
        <v/>
      </c>
      <c r="Q18" s="33" t="str">
        <f t="shared" si="2"/>
        <v/>
      </c>
      <c r="R18" s="41" t="str">
        <f>IF($B18="","",VLOOKUP(I18,'2_HOJA_TECNICA'!$B$6:$K$13,9,0))</f>
        <v/>
      </c>
      <c r="S18" s="42" t="str">
        <f t="shared" si="3"/>
        <v/>
      </c>
    </row>
    <row r="19" spans="2:19" ht="15" customHeight="1" x14ac:dyDescent="0.3">
      <c r="B19" s="27"/>
      <c r="C19" s="27"/>
      <c r="D19" s="27"/>
      <c r="E19" s="27"/>
      <c r="F19" s="27"/>
      <c r="G19" s="27"/>
      <c r="H19" s="27"/>
      <c r="I19" s="27"/>
      <c r="J19" s="27"/>
      <c r="K19" s="27"/>
      <c r="L19" s="39" t="str">
        <f>IF($B19="","",J19+IF(H19=1,VLOOKUP(G19,'3_FACTORES'!$B$27:$E$31,4,0),0))</f>
        <v/>
      </c>
      <c r="M19" s="32" t="str">
        <f>IF($B19="","",VLOOKUP(I19,'2_HOJA_TECNICA'!$B$6:$K$13,5,0)*1000/L19)</f>
        <v/>
      </c>
      <c r="N19" s="33" t="str">
        <f t="shared" si="0"/>
        <v/>
      </c>
      <c r="O19" s="40" t="str">
        <f>IF($B19="","",1-(1-VLOOKUP(E19,'3_FACTORES'!$B$6:$D$12,3,0))*(1-VLOOKUP(F19,'3_FACTORES'!$B$17:$D$22,3,0))*(1-IF(H19&gt;1,'3_FACTORES'!$D$36,0))*(1-'3_FACTORES'!$D$37)*(1-IF(VLOOKUP(I19,'2_HOJA_TECNICA'!$B$6:$K$13,10,0)="SI",'3_FACTORES'!$D$38,0))*(1-IF(K19="SI",'3_FACTORES'!$D$39,0)))</f>
        <v/>
      </c>
      <c r="P19" s="33" t="str">
        <f t="shared" si="1"/>
        <v/>
      </c>
      <c r="Q19" s="33" t="str">
        <f t="shared" si="2"/>
        <v/>
      </c>
      <c r="R19" s="41" t="str">
        <f>IF($B19="","",VLOOKUP(I19,'2_HOJA_TECNICA'!$B$6:$K$13,9,0))</f>
        <v/>
      </c>
      <c r="S19" s="42" t="str">
        <f t="shared" si="3"/>
        <v/>
      </c>
    </row>
    <row r="20" spans="2:19" ht="15" customHeight="1" x14ac:dyDescent="0.3">
      <c r="B20" s="27"/>
      <c r="C20" s="27"/>
      <c r="D20" s="27"/>
      <c r="E20" s="27"/>
      <c r="F20" s="27"/>
      <c r="G20" s="27"/>
      <c r="H20" s="27"/>
      <c r="I20" s="27"/>
      <c r="J20" s="27"/>
      <c r="K20" s="27"/>
      <c r="L20" s="39" t="str">
        <f>IF($B20="","",J20+IF(H20=1,VLOOKUP(G20,'3_FACTORES'!$B$27:$E$31,4,0),0))</f>
        <v/>
      </c>
      <c r="M20" s="32" t="str">
        <f>IF($B20="","",VLOOKUP(I20,'2_HOJA_TECNICA'!$B$6:$K$13,5,0)*1000/L20)</f>
        <v/>
      </c>
      <c r="N20" s="33" t="str">
        <f t="shared" si="0"/>
        <v/>
      </c>
      <c r="O20" s="40" t="str">
        <f>IF($B20="","",1-(1-VLOOKUP(E20,'3_FACTORES'!$B$6:$D$12,3,0))*(1-VLOOKUP(F20,'3_FACTORES'!$B$17:$D$22,3,0))*(1-IF(H20&gt;1,'3_FACTORES'!$D$36,0))*(1-'3_FACTORES'!$D$37)*(1-IF(VLOOKUP(I20,'2_HOJA_TECNICA'!$B$6:$K$13,10,0)="SI",'3_FACTORES'!$D$38,0))*(1-IF(K20="SI",'3_FACTORES'!$D$39,0)))</f>
        <v/>
      </c>
      <c r="P20" s="33" t="str">
        <f t="shared" si="1"/>
        <v/>
      </c>
      <c r="Q20" s="33" t="str">
        <f t="shared" si="2"/>
        <v/>
      </c>
      <c r="R20" s="41" t="str">
        <f>IF($B20="","",VLOOKUP(I20,'2_HOJA_TECNICA'!$B$6:$K$13,9,0))</f>
        <v/>
      </c>
      <c r="S20" s="42" t="str">
        <f t="shared" si="3"/>
        <v/>
      </c>
    </row>
    <row r="21" spans="2:19" ht="15" customHeight="1" x14ac:dyDescent="0.3">
      <c r="B21" s="27"/>
      <c r="C21" s="27"/>
      <c r="D21" s="27"/>
      <c r="E21" s="27"/>
      <c r="F21" s="27"/>
      <c r="G21" s="27"/>
      <c r="H21" s="27"/>
      <c r="I21" s="27"/>
      <c r="J21" s="27"/>
      <c r="K21" s="27"/>
      <c r="L21" s="39" t="str">
        <f>IF($B21="","",J21+IF(H21=1,VLOOKUP(G21,'3_FACTORES'!$B$27:$E$31,4,0),0))</f>
        <v/>
      </c>
      <c r="M21" s="32" t="str">
        <f>IF($B21="","",VLOOKUP(I21,'2_HOJA_TECNICA'!$B$6:$K$13,5,0)*1000/L21)</f>
        <v/>
      </c>
      <c r="N21" s="33" t="str">
        <f t="shared" si="0"/>
        <v/>
      </c>
      <c r="O21" s="40" t="str">
        <f>IF($B21="","",1-(1-VLOOKUP(E21,'3_FACTORES'!$B$6:$D$12,3,0))*(1-VLOOKUP(F21,'3_FACTORES'!$B$17:$D$22,3,0))*(1-IF(H21&gt;1,'3_FACTORES'!$D$36,0))*(1-'3_FACTORES'!$D$37)*(1-IF(VLOOKUP(I21,'2_HOJA_TECNICA'!$B$6:$K$13,10,0)="SI",'3_FACTORES'!$D$38,0))*(1-IF(K21="SI",'3_FACTORES'!$D$39,0)))</f>
        <v/>
      </c>
      <c r="P21" s="33" t="str">
        <f t="shared" si="1"/>
        <v/>
      </c>
      <c r="Q21" s="33" t="str">
        <f t="shared" si="2"/>
        <v/>
      </c>
      <c r="R21" s="41" t="str">
        <f>IF($B21="","",VLOOKUP(I21,'2_HOJA_TECNICA'!$B$6:$K$13,9,0))</f>
        <v/>
      </c>
      <c r="S21" s="42" t="str">
        <f t="shared" si="3"/>
        <v/>
      </c>
    </row>
    <row r="22" spans="2:19" ht="15" customHeight="1" x14ac:dyDescent="0.3">
      <c r="B22" s="27"/>
      <c r="C22" s="27"/>
      <c r="D22" s="27"/>
      <c r="E22" s="27"/>
      <c r="F22" s="27"/>
      <c r="G22" s="27"/>
      <c r="H22" s="27"/>
      <c r="I22" s="27"/>
      <c r="J22" s="27"/>
      <c r="K22" s="27"/>
      <c r="L22" s="39" t="str">
        <f>IF($B22="","",J22+IF(H22=1,VLOOKUP(G22,'3_FACTORES'!$B$27:$E$31,4,0),0))</f>
        <v/>
      </c>
      <c r="M22" s="32" t="str">
        <f>IF($B22="","",VLOOKUP(I22,'2_HOJA_TECNICA'!$B$6:$K$13,5,0)*1000/L22)</f>
        <v/>
      </c>
      <c r="N22" s="33" t="str">
        <f t="shared" si="0"/>
        <v/>
      </c>
      <c r="O22" s="40" t="str">
        <f>IF($B22="","",1-(1-VLOOKUP(E22,'3_FACTORES'!$B$6:$D$12,3,0))*(1-VLOOKUP(F22,'3_FACTORES'!$B$17:$D$22,3,0))*(1-IF(H22&gt;1,'3_FACTORES'!$D$36,0))*(1-'3_FACTORES'!$D$37)*(1-IF(VLOOKUP(I22,'2_HOJA_TECNICA'!$B$6:$K$13,10,0)="SI",'3_FACTORES'!$D$38,0))*(1-IF(K22="SI",'3_FACTORES'!$D$39,0)))</f>
        <v/>
      </c>
      <c r="P22" s="33" t="str">
        <f t="shared" si="1"/>
        <v/>
      </c>
      <c r="Q22" s="33" t="str">
        <f t="shared" si="2"/>
        <v/>
      </c>
      <c r="R22" s="41" t="str">
        <f>IF($B22="","",VLOOKUP(I22,'2_HOJA_TECNICA'!$B$6:$K$13,9,0))</f>
        <v/>
      </c>
      <c r="S22" s="42" t="str">
        <f t="shared" si="3"/>
        <v/>
      </c>
    </row>
    <row r="23" spans="2:19" ht="15" customHeight="1" x14ac:dyDescent="0.3">
      <c r="B23" s="27"/>
      <c r="C23" s="27"/>
      <c r="D23" s="27"/>
      <c r="E23" s="27"/>
      <c r="F23" s="27"/>
      <c r="G23" s="27"/>
      <c r="H23" s="27"/>
      <c r="I23" s="27"/>
      <c r="J23" s="27"/>
      <c r="K23" s="27"/>
      <c r="L23" s="39" t="str">
        <f>IF($B23="","",J23+IF(H23=1,VLOOKUP(G23,'3_FACTORES'!$B$27:$E$31,4,0),0))</f>
        <v/>
      </c>
      <c r="M23" s="32" t="str">
        <f>IF($B23="","",VLOOKUP(I23,'2_HOJA_TECNICA'!$B$6:$K$13,5,0)*1000/L23)</f>
        <v/>
      </c>
      <c r="N23" s="33" t="str">
        <f t="shared" si="0"/>
        <v/>
      </c>
      <c r="O23" s="40" t="str">
        <f>IF($B23="","",1-(1-VLOOKUP(E23,'3_FACTORES'!$B$6:$D$12,3,0))*(1-VLOOKUP(F23,'3_FACTORES'!$B$17:$D$22,3,0))*(1-IF(H23&gt;1,'3_FACTORES'!$D$36,0))*(1-'3_FACTORES'!$D$37)*(1-IF(VLOOKUP(I23,'2_HOJA_TECNICA'!$B$6:$K$13,10,0)="SI",'3_FACTORES'!$D$38,0))*(1-IF(K23="SI",'3_FACTORES'!$D$39,0)))</f>
        <v/>
      </c>
      <c r="P23" s="33" t="str">
        <f t="shared" si="1"/>
        <v/>
      </c>
      <c r="Q23" s="33" t="str">
        <f t="shared" si="2"/>
        <v/>
      </c>
      <c r="R23" s="41" t="str">
        <f>IF($B23="","",VLOOKUP(I23,'2_HOJA_TECNICA'!$B$6:$K$13,9,0))</f>
        <v/>
      </c>
      <c r="S23" s="42" t="str">
        <f t="shared" si="3"/>
        <v/>
      </c>
    </row>
    <row r="24" spans="2:19" ht="15" customHeight="1" x14ac:dyDescent="0.3">
      <c r="B24" s="27"/>
      <c r="C24" s="27"/>
      <c r="D24" s="27"/>
      <c r="E24" s="27"/>
      <c r="F24" s="27"/>
      <c r="G24" s="27"/>
      <c r="H24" s="27"/>
      <c r="I24" s="27"/>
      <c r="J24" s="27"/>
      <c r="K24" s="27"/>
      <c r="L24" s="39" t="str">
        <f>IF($B24="","",J24+IF(H24=1,VLOOKUP(G24,'3_FACTORES'!$B$27:$E$31,4,0),0))</f>
        <v/>
      </c>
      <c r="M24" s="32" t="str">
        <f>IF($B24="","",VLOOKUP(I24,'2_HOJA_TECNICA'!$B$6:$K$13,5,0)*1000/L24)</f>
        <v/>
      </c>
      <c r="N24" s="33" t="str">
        <f t="shared" si="0"/>
        <v/>
      </c>
      <c r="O24" s="40" t="str">
        <f>IF($B24="","",1-(1-VLOOKUP(E24,'3_FACTORES'!$B$6:$D$12,3,0))*(1-VLOOKUP(F24,'3_FACTORES'!$B$17:$D$22,3,0))*(1-IF(H24&gt;1,'3_FACTORES'!$D$36,0))*(1-'3_FACTORES'!$D$37)*(1-IF(VLOOKUP(I24,'2_HOJA_TECNICA'!$B$6:$K$13,10,0)="SI",'3_FACTORES'!$D$38,0))*(1-IF(K24="SI",'3_FACTORES'!$D$39,0)))</f>
        <v/>
      </c>
      <c r="P24" s="33" t="str">
        <f t="shared" si="1"/>
        <v/>
      </c>
      <c r="Q24" s="33" t="str">
        <f t="shared" si="2"/>
        <v/>
      </c>
      <c r="R24" s="41" t="str">
        <f>IF($B24="","",VLOOKUP(I24,'2_HOJA_TECNICA'!$B$6:$K$13,9,0))</f>
        <v/>
      </c>
      <c r="S24" s="42" t="str">
        <f t="shared" si="3"/>
        <v/>
      </c>
    </row>
    <row r="25" spans="2:19" ht="15" customHeight="1" x14ac:dyDescent="0.3">
      <c r="B25" s="27"/>
      <c r="C25" s="27"/>
      <c r="D25" s="27"/>
      <c r="E25" s="27"/>
      <c r="F25" s="27"/>
      <c r="G25" s="27"/>
      <c r="H25" s="27"/>
      <c r="I25" s="27"/>
      <c r="J25" s="27"/>
      <c r="K25" s="27"/>
      <c r="L25" s="39" t="str">
        <f>IF($B25="","",J25+IF(H25=1,VLOOKUP(G25,'3_FACTORES'!$B$27:$E$31,4,0),0))</f>
        <v/>
      </c>
      <c r="M25" s="32" t="str">
        <f>IF($B25="","",VLOOKUP(I25,'2_HOJA_TECNICA'!$B$6:$K$13,5,0)*1000/L25)</f>
        <v/>
      </c>
      <c r="N25" s="33" t="str">
        <f t="shared" si="0"/>
        <v/>
      </c>
      <c r="O25" s="40" t="str">
        <f>IF($B25="","",1-(1-VLOOKUP(E25,'3_FACTORES'!$B$6:$D$12,3,0))*(1-VLOOKUP(F25,'3_FACTORES'!$B$17:$D$22,3,0))*(1-IF(H25&gt;1,'3_FACTORES'!$D$36,0))*(1-'3_FACTORES'!$D$37)*(1-IF(VLOOKUP(I25,'2_HOJA_TECNICA'!$B$6:$K$13,10,0)="SI",'3_FACTORES'!$D$38,0))*(1-IF(K25="SI",'3_FACTORES'!$D$39,0)))</f>
        <v/>
      </c>
      <c r="P25" s="33" t="str">
        <f t="shared" si="1"/>
        <v/>
      </c>
      <c r="Q25" s="33" t="str">
        <f t="shared" si="2"/>
        <v/>
      </c>
      <c r="R25" s="41" t="str">
        <f>IF($B25="","",VLOOKUP(I25,'2_HOJA_TECNICA'!$B$6:$K$13,9,0))</f>
        <v/>
      </c>
      <c r="S25" s="42" t="str">
        <f t="shared" si="3"/>
        <v/>
      </c>
    </row>
    <row r="26" spans="2:19" ht="15" customHeight="1" x14ac:dyDescent="0.3">
      <c r="C26" s="43" t="s">
        <v>298</v>
      </c>
      <c r="N26" s="44">
        <f>SUM(N6:N25)</f>
        <v>1782.4180399719494</v>
      </c>
      <c r="P26" s="44">
        <f>SUM(P6:P25)</f>
        <v>2704.9835766072438</v>
      </c>
      <c r="Q26" s="44">
        <f>SUM(Q6:Q25)</f>
        <v>922.56553663529417</v>
      </c>
    </row>
  </sheetData>
  <mergeCells count="1">
    <mergeCell ref="B2:S2"/>
  </mergeCells>
  <dataValidations count="5">
    <dataValidation type="list" allowBlank="1" sqref="E6:E25" xr:uid="{00000000-0002-0000-0500-000000000000}">
      <formula1>"F1,F2,F3,F4,F5,F6,F7"</formula1>
      <formula2>0</formula2>
    </dataValidation>
    <dataValidation type="list" allowBlank="1" sqref="F6:F25" xr:uid="{00000000-0002-0000-0500-000001000000}">
      <formula1>"A1,A2,A3,A4,A5,A6"</formula1>
      <formula2>0</formula2>
    </dataValidation>
    <dataValidation type="list" allowBlank="1" sqref="G6:G25" xr:uid="{00000000-0002-0000-0500-000002000000}">
      <formula1>"R0,R1,R2,R3,R4"</formula1>
      <formula2>0</formula2>
    </dataValidation>
    <dataValidation type="list" allowBlank="1" sqref="K6:K25" xr:uid="{00000000-0002-0000-0500-000003000000}">
      <formula1>"SI,NO"</formula1>
      <formula2>0</formula2>
    </dataValidation>
    <dataValidation type="list" allowBlank="1" sqref="I6:I25" xr:uid="{00000000-0002-0000-0500-000004000000}">
      <formula1>"P01,P02,P03,P04,P05,P06,P07,P08"</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14"/>
  <sheetViews>
    <sheetView zoomScaleNormal="100" workbookViewId="0"/>
  </sheetViews>
  <sheetFormatPr baseColWidth="10" defaultColWidth="8.6640625" defaultRowHeight="14.4" x14ac:dyDescent="0.3"/>
  <cols>
    <col min="1" max="1" width="3" customWidth="1"/>
    <col min="2" max="2" width="10" customWidth="1"/>
    <col min="3" max="3" width="28" customWidth="1"/>
    <col min="4" max="6" width="14" customWidth="1"/>
    <col min="7" max="9" width="12" customWidth="1"/>
    <col min="10" max="12" width="14" customWidth="1"/>
  </cols>
  <sheetData>
    <row r="2" spans="2:12" ht="24" customHeight="1" x14ac:dyDescent="0.3">
      <c r="B2" s="14" t="s">
        <v>299</v>
      </c>
      <c r="C2" s="14"/>
      <c r="D2" s="14"/>
      <c r="E2" s="14"/>
      <c r="F2" s="14"/>
      <c r="G2" s="14"/>
      <c r="H2" s="14"/>
      <c r="I2" s="14"/>
      <c r="J2" s="14"/>
      <c r="K2" s="14"/>
      <c r="L2" s="14"/>
    </row>
    <row r="3" spans="2:12" ht="15" customHeight="1" x14ac:dyDescent="0.3">
      <c r="B3" s="26" t="s">
        <v>300</v>
      </c>
    </row>
    <row r="5" spans="2:12" ht="39.75" customHeight="1" x14ac:dyDescent="0.3">
      <c r="B5" s="19" t="s">
        <v>280</v>
      </c>
      <c r="C5" s="19" t="s">
        <v>301</v>
      </c>
      <c r="D5" s="19" t="s">
        <v>285</v>
      </c>
      <c r="E5" s="19" t="s">
        <v>287</v>
      </c>
      <c r="F5" s="19" t="s">
        <v>288</v>
      </c>
      <c r="G5" s="19" t="s">
        <v>302</v>
      </c>
      <c r="H5" s="19" t="s">
        <v>163</v>
      </c>
      <c r="I5" s="19" t="s">
        <v>303</v>
      </c>
      <c r="J5" s="19" t="s">
        <v>304</v>
      </c>
      <c r="K5" s="19" t="s">
        <v>305</v>
      </c>
      <c r="L5" s="19" t="s">
        <v>306</v>
      </c>
    </row>
    <row r="6" spans="2:12" ht="15" customHeight="1" x14ac:dyDescent="0.3">
      <c r="B6" s="45" t="str">
        <f>'2_HOJA_TECNICA'!B6</f>
        <v>P01</v>
      </c>
      <c r="C6" s="46" t="str">
        <f>IF(B6="","",'2_HOJA_TECNICA'!C6)</f>
        <v>Primario epóxico rico en zinc</v>
      </c>
      <c r="D6" s="33">
        <f>IF($B6="","",SUMIF('4_CALCULO'!$I$6:$I$25,$B6,'4_CALCULO'!$N$6:$N$25))</f>
        <v>461.29032258064512</v>
      </c>
      <c r="E6" s="33">
        <f>IF($B6="","",SUMIF('4_CALCULO'!$I$6:$I$25,$B6,'4_CALCULO'!$P$6:$P$25))</f>
        <v>697.10456123640165</v>
      </c>
      <c r="F6" s="33">
        <f>IF($B6="","",SUMIF('4_CALCULO'!$I$6:$I$25,$B6,'4_CALCULO'!$Q$6:$Q$25))</f>
        <v>235.81423865575658</v>
      </c>
      <c r="G6" s="40">
        <f t="shared" ref="G6:G13" si="0">IF(OR($B6="",E6=0),"",F6/E6)</f>
        <v>0.33827671165644174</v>
      </c>
      <c r="H6" s="41">
        <f>IF($B6="","",'2_HOJA_TECNICA'!J6)</f>
        <v>18.899999999999999</v>
      </c>
      <c r="I6" s="39">
        <f t="shared" ref="I6:I13" si="1">IF(OR($B6="",E6=0),"",ROUNDUP(E6/H6,0))</f>
        <v>37</v>
      </c>
      <c r="J6" s="33">
        <f t="shared" ref="J6:J13" si="2">IF($B6="","",IF(I6="","",I6*H6))</f>
        <v>699.3</v>
      </c>
      <c r="K6" s="33">
        <f t="shared" ref="K6:K13" si="3">IF(OR($B6="",I6=""),"",J6-E6)</f>
        <v>2.1954387635983039</v>
      </c>
      <c r="L6" s="47">
        <f>IF(OR($B6="",I6=""),"",I6*'2_HOJA_TECNICA'!L6)</f>
        <v>0</v>
      </c>
    </row>
    <row r="7" spans="2:12" ht="26.25" customHeight="1" x14ac:dyDescent="0.3">
      <c r="B7" s="45" t="str">
        <f>'2_HOJA_TECNICA'!B7</f>
        <v>P02</v>
      </c>
      <c r="C7" s="46" t="str">
        <f>IF(B7="","",'2_HOJA_TECNICA'!C7)</f>
        <v>Epóxico poliamida alto sólidos</v>
      </c>
      <c r="D7" s="33">
        <f>IF($B7="","",SUMIF('4_CALCULO'!$I$6:$I$25,$B7,'4_CALCULO'!$N$6:$N$25))</f>
        <v>195.3125</v>
      </c>
      <c r="E7" s="33">
        <f>IF($B7="","",SUMIF('4_CALCULO'!$I$6:$I$25,$B7,'4_CALCULO'!$P$6:$P$25))</f>
        <v>264.39313948451377</v>
      </c>
      <c r="F7" s="33">
        <f>IF($B7="","",SUMIF('4_CALCULO'!$I$6:$I$25,$B7,'4_CALCULO'!$Q$6:$Q$25))</f>
        <v>69.080639484513767</v>
      </c>
      <c r="G7" s="40">
        <f t="shared" si="0"/>
        <v>0.26128000000000001</v>
      </c>
      <c r="H7" s="41">
        <f>IF($B7="","",'2_HOJA_TECNICA'!J7)</f>
        <v>18.899999999999999</v>
      </c>
      <c r="I7" s="39">
        <f t="shared" si="1"/>
        <v>14</v>
      </c>
      <c r="J7" s="33">
        <f t="shared" si="2"/>
        <v>264.59999999999997</v>
      </c>
      <c r="K7" s="33">
        <f t="shared" si="3"/>
        <v>0.20686051548619844</v>
      </c>
      <c r="L7" s="47">
        <f>IF(OR($B7="",I7=""),"",I7*'2_HOJA_TECNICA'!L7)</f>
        <v>0</v>
      </c>
    </row>
    <row r="8" spans="2:12" ht="15" customHeight="1" x14ac:dyDescent="0.3">
      <c r="B8" s="45" t="str">
        <f>'2_HOJA_TECNICA'!B8</f>
        <v>P03</v>
      </c>
      <c r="C8" s="46" t="str">
        <f>IF(B8="","",'2_HOJA_TECNICA'!C8)</f>
        <v>Acabado poliuretano alifático</v>
      </c>
      <c r="D8" s="33">
        <f>IF($B8="","",SUMIF('4_CALCULO'!$I$6:$I$25,$B8,'4_CALCULO'!$N$6:$N$25))</f>
        <v>256.25</v>
      </c>
      <c r="E8" s="33">
        <f>IF($B8="","",SUMIF('4_CALCULO'!$I$6:$I$25,$B8,'4_CALCULO'!$P$6:$P$25))</f>
        <v>414.56844271171758</v>
      </c>
      <c r="F8" s="33">
        <f>IF($B8="","",SUMIF('4_CALCULO'!$I$6:$I$25,$B8,'4_CALCULO'!$Q$6:$Q$25))</f>
        <v>158.31844271171758</v>
      </c>
      <c r="G8" s="40">
        <f t="shared" si="0"/>
        <v>0.38188734693877552</v>
      </c>
      <c r="H8" s="41">
        <f>IF($B8="","",'2_HOJA_TECNICA'!J8)</f>
        <v>18.899999999999999</v>
      </c>
      <c r="I8" s="39">
        <f t="shared" si="1"/>
        <v>22</v>
      </c>
      <c r="J8" s="33">
        <f t="shared" si="2"/>
        <v>415.79999999999995</v>
      </c>
      <c r="K8" s="33">
        <f t="shared" si="3"/>
        <v>1.2315572882823744</v>
      </c>
      <c r="L8" s="47">
        <f>IF(OR($B8="",I8=""),"",I8*'2_HOJA_TECNICA'!L8)</f>
        <v>0</v>
      </c>
    </row>
    <row r="9" spans="2:12" ht="15" customHeight="1" x14ac:dyDescent="0.3">
      <c r="B9" s="45" t="str">
        <f>'2_HOJA_TECNICA'!B9</f>
        <v>P04</v>
      </c>
      <c r="C9" s="46" t="str">
        <f>IF(B9="","",'2_HOJA_TECNICA'!C9)</f>
        <v>Intumescente base agua</v>
      </c>
      <c r="D9" s="33">
        <f>IF($B9="","",SUMIF('4_CALCULO'!$I$6:$I$25,$B9,'4_CALCULO'!$N$6:$N$25))</f>
        <v>869.56521739130426</v>
      </c>
      <c r="E9" s="33">
        <f>IF($B9="","",SUMIF('4_CALCULO'!$I$6:$I$25,$B9,'4_CALCULO'!$P$6:$P$25))</f>
        <v>1328.9174331746106</v>
      </c>
      <c r="F9" s="33">
        <f>IF($B9="","",SUMIF('4_CALCULO'!$I$6:$I$25,$B9,'4_CALCULO'!$Q$6:$Q$25))</f>
        <v>459.35221578330624</v>
      </c>
      <c r="G9" s="40">
        <f t="shared" si="0"/>
        <v>0.34565895842450772</v>
      </c>
      <c r="H9" s="41">
        <f>IF($B9="","",'2_HOJA_TECNICA'!J9)</f>
        <v>25</v>
      </c>
      <c r="I9" s="39">
        <f t="shared" si="1"/>
        <v>54</v>
      </c>
      <c r="J9" s="33">
        <f t="shared" si="2"/>
        <v>1350</v>
      </c>
      <c r="K9" s="33">
        <f t="shared" si="3"/>
        <v>21.082566825389449</v>
      </c>
      <c r="L9" s="47">
        <f>IF(OR($B9="",I9=""),"",I9*'2_HOJA_TECNICA'!L9)</f>
        <v>0</v>
      </c>
    </row>
    <row r="10" spans="2:12" ht="15" customHeight="1" x14ac:dyDescent="0.3">
      <c r="B10" s="45" t="str">
        <f>'2_HOJA_TECNICA'!B10</f>
        <v>P05</v>
      </c>
      <c r="C10" s="46">
        <f>IF(B10="","",'2_HOJA_TECNICA'!C10)</f>
        <v>0</v>
      </c>
      <c r="D10" s="33">
        <f>IF($B10="","",SUMIF('4_CALCULO'!$I$6:$I$25,$B10,'4_CALCULO'!$N$6:$N$25))</f>
        <v>0</v>
      </c>
      <c r="E10" s="33">
        <f>IF($B10="","",SUMIF('4_CALCULO'!$I$6:$I$25,$B10,'4_CALCULO'!$P$6:$P$25))</f>
        <v>0</v>
      </c>
      <c r="F10" s="33">
        <f>IF($B10="","",SUMIF('4_CALCULO'!$I$6:$I$25,$B10,'4_CALCULO'!$Q$6:$Q$25))</f>
        <v>0</v>
      </c>
      <c r="G10" s="40" t="str">
        <f t="shared" si="0"/>
        <v/>
      </c>
      <c r="H10" s="41">
        <f>IF($B10="","",'2_HOJA_TECNICA'!J10)</f>
        <v>0</v>
      </c>
      <c r="I10" s="39" t="str">
        <f t="shared" si="1"/>
        <v/>
      </c>
      <c r="J10" s="33" t="str">
        <f t="shared" si="2"/>
        <v/>
      </c>
      <c r="K10" s="33" t="str">
        <f t="shared" si="3"/>
        <v/>
      </c>
      <c r="L10" s="47" t="str">
        <f>IF(OR($B10="",I10=""),"",I10*'2_HOJA_TECNICA'!L10)</f>
        <v/>
      </c>
    </row>
    <row r="11" spans="2:12" ht="15" customHeight="1" x14ac:dyDescent="0.3">
      <c r="B11" s="45" t="str">
        <f>'2_HOJA_TECNICA'!B11</f>
        <v>P06</v>
      </c>
      <c r="C11" s="46">
        <f>IF(B11="","",'2_HOJA_TECNICA'!C11)</f>
        <v>0</v>
      </c>
      <c r="D11" s="33">
        <f>IF($B11="","",SUMIF('4_CALCULO'!$I$6:$I$25,$B11,'4_CALCULO'!$N$6:$N$25))</f>
        <v>0</v>
      </c>
      <c r="E11" s="33">
        <f>IF($B11="","",SUMIF('4_CALCULO'!$I$6:$I$25,$B11,'4_CALCULO'!$P$6:$P$25))</f>
        <v>0</v>
      </c>
      <c r="F11" s="33">
        <f>IF($B11="","",SUMIF('4_CALCULO'!$I$6:$I$25,$B11,'4_CALCULO'!$Q$6:$Q$25))</f>
        <v>0</v>
      </c>
      <c r="G11" s="40" t="str">
        <f t="shared" si="0"/>
        <v/>
      </c>
      <c r="H11" s="41">
        <f>IF($B11="","",'2_HOJA_TECNICA'!J11)</f>
        <v>0</v>
      </c>
      <c r="I11" s="39" t="str">
        <f t="shared" si="1"/>
        <v/>
      </c>
      <c r="J11" s="33" t="str">
        <f t="shared" si="2"/>
        <v/>
      </c>
      <c r="K11" s="33" t="str">
        <f t="shared" si="3"/>
        <v/>
      </c>
      <c r="L11" s="47" t="str">
        <f>IF(OR($B11="",I11=""),"",I11*'2_HOJA_TECNICA'!L11)</f>
        <v/>
      </c>
    </row>
    <row r="12" spans="2:12" ht="15" customHeight="1" x14ac:dyDescent="0.3">
      <c r="B12" s="45" t="str">
        <f>'2_HOJA_TECNICA'!B12</f>
        <v>P07</v>
      </c>
      <c r="C12" s="46">
        <f>IF(B12="","",'2_HOJA_TECNICA'!C12)</f>
        <v>0</v>
      </c>
      <c r="D12" s="33">
        <f>IF($B12="","",SUMIF('4_CALCULO'!$I$6:$I$25,$B12,'4_CALCULO'!$N$6:$N$25))</f>
        <v>0</v>
      </c>
      <c r="E12" s="33">
        <f>IF($B12="","",SUMIF('4_CALCULO'!$I$6:$I$25,$B12,'4_CALCULO'!$P$6:$P$25))</f>
        <v>0</v>
      </c>
      <c r="F12" s="33">
        <f>IF($B12="","",SUMIF('4_CALCULO'!$I$6:$I$25,$B12,'4_CALCULO'!$Q$6:$Q$25))</f>
        <v>0</v>
      </c>
      <c r="G12" s="40" t="str">
        <f t="shared" si="0"/>
        <v/>
      </c>
      <c r="H12" s="41">
        <f>IF($B12="","",'2_HOJA_TECNICA'!J12)</f>
        <v>0</v>
      </c>
      <c r="I12" s="39" t="str">
        <f t="shared" si="1"/>
        <v/>
      </c>
      <c r="J12" s="33" t="str">
        <f t="shared" si="2"/>
        <v/>
      </c>
      <c r="K12" s="33" t="str">
        <f t="shared" si="3"/>
        <v/>
      </c>
      <c r="L12" s="47" t="str">
        <f>IF(OR($B12="",I12=""),"",I12*'2_HOJA_TECNICA'!L12)</f>
        <v/>
      </c>
    </row>
    <row r="13" spans="2:12" ht="15" customHeight="1" x14ac:dyDescent="0.3">
      <c r="B13" s="45" t="str">
        <f>'2_HOJA_TECNICA'!B13</f>
        <v>P08</v>
      </c>
      <c r="C13" s="46">
        <f>IF(B13="","",'2_HOJA_TECNICA'!C13)</f>
        <v>0</v>
      </c>
      <c r="D13" s="33">
        <f>IF($B13="","",SUMIF('4_CALCULO'!$I$6:$I$25,$B13,'4_CALCULO'!$N$6:$N$25))</f>
        <v>0</v>
      </c>
      <c r="E13" s="33">
        <f>IF($B13="","",SUMIF('4_CALCULO'!$I$6:$I$25,$B13,'4_CALCULO'!$P$6:$P$25))</f>
        <v>0</v>
      </c>
      <c r="F13" s="33">
        <f>IF($B13="","",SUMIF('4_CALCULO'!$I$6:$I$25,$B13,'4_CALCULO'!$Q$6:$Q$25))</f>
        <v>0</v>
      </c>
      <c r="G13" s="40" t="str">
        <f t="shared" si="0"/>
        <v/>
      </c>
      <c r="H13" s="41">
        <f>IF($B13="","",'2_HOJA_TECNICA'!J13)</f>
        <v>0</v>
      </c>
      <c r="I13" s="39" t="str">
        <f t="shared" si="1"/>
        <v/>
      </c>
      <c r="J13" s="33" t="str">
        <f t="shared" si="2"/>
        <v/>
      </c>
      <c r="K13" s="33" t="str">
        <f t="shared" si="3"/>
        <v/>
      </c>
      <c r="L13" s="47" t="str">
        <f>IF(OR($B13="",I13=""),"",I13*'2_HOJA_TECNICA'!L13)</f>
        <v/>
      </c>
    </row>
    <row r="14" spans="2:12" ht="15" customHeight="1" x14ac:dyDescent="0.3">
      <c r="C14" s="43" t="s">
        <v>307</v>
      </c>
      <c r="D14" s="44">
        <f>SUM(D6:D13)</f>
        <v>1782.4180399719494</v>
      </c>
      <c r="E14" s="44">
        <f>SUM(E6:E13)</f>
        <v>2704.9835766072438</v>
      </c>
      <c r="F14" s="44">
        <f>SUM(F6:F13)</f>
        <v>922.56553663529417</v>
      </c>
      <c r="I14" s="48">
        <f>SUM(I6:I13)</f>
        <v>127</v>
      </c>
      <c r="J14" s="44">
        <f>SUM(J6:J13)</f>
        <v>2729.7</v>
      </c>
      <c r="K14" s="44">
        <f>SUM(K6:K13)</f>
        <v>24.716423392756326</v>
      </c>
      <c r="L14" s="49">
        <f>SUM(L6:L13)</f>
        <v>0</v>
      </c>
    </row>
  </sheetData>
  <mergeCells count="1">
    <mergeCell ref="B2:L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36"/>
  <sheetViews>
    <sheetView zoomScaleNormal="100" workbookViewId="0"/>
  </sheetViews>
  <sheetFormatPr baseColWidth="10" defaultColWidth="8.6640625" defaultRowHeight="14.4" x14ac:dyDescent="0.3"/>
  <cols>
    <col min="1" max="1" width="3" customWidth="1"/>
    <col min="2" max="6" width="16" customWidth="1"/>
    <col min="7" max="7" width="60" customWidth="1"/>
  </cols>
  <sheetData>
    <row r="2" spans="2:7" ht="24" customHeight="1" x14ac:dyDescent="0.3">
      <c r="B2" s="14" t="s">
        <v>308</v>
      </c>
      <c r="C2" s="14"/>
      <c r="D2" s="14"/>
      <c r="E2" s="14"/>
      <c r="F2" s="14"/>
      <c r="G2" s="14"/>
    </row>
    <row r="4" spans="2:7" ht="15" customHeight="1" x14ac:dyDescent="0.3">
      <c r="B4" s="10" t="s">
        <v>309</v>
      </c>
      <c r="C4" s="10"/>
      <c r="D4" s="10"/>
      <c r="E4" s="10"/>
      <c r="F4" s="10"/>
      <c r="G4" s="10"/>
    </row>
    <row r="5" spans="2:7" ht="15" customHeight="1" x14ac:dyDescent="0.3">
      <c r="B5" s="19" t="s">
        <v>310</v>
      </c>
      <c r="C5" s="19" t="s">
        <v>311</v>
      </c>
      <c r="D5" s="19" t="s">
        <v>312</v>
      </c>
      <c r="E5" s="19" t="s">
        <v>313</v>
      </c>
      <c r="F5" s="19" t="s">
        <v>314</v>
      </c>
      <c r="G5" s="19" t="s">
        <v>315</v>
      </c>
    </row>
    <row r="6" spans="2:7" ht="15" customHeight="1" x14ac:dyDescent="0.3">
      <c r="B6" s="36">
        <v>50</v>
      </c>
      <c r="C6" s="36">
        <v>250</v>
      </c>
      <c r="D6" s="36">
        <v>450</v>
      </c>
      <c r="E6" s="36">
        <v>900</v>
      </c>
      <c r="F6" s="36">
        <v>1500</v>
      </c>
      <c r="G6" s="22" t="s">
        <v>316</v>
      </c>
    </row>
    <row r="7" spans="2:7" ht="15" customHeight="1" x14ac:dyDescent="0.3">
      <c r="B7" s="36">
        <v>100</v>
      </c>
      <c r="C7" s="36">
        <v>300</v>
      </c>
      <c r="D7" s="36">
        <v>700</v>
      </c>
      <c r="E7" s="36">
        <v>1400</v>
      </c>
      <c r="F7" s="36">
        <v>2400</v>
      </c>
      <c r="G7" s="22" t="s">
        <v>317</v>
      </c>
    </row>
    <row r="8" spans="2:7" ht="15" customHeight="1" x14ac:dyDescent="0.3">
      <c r="B8" s="36">
        <v>150</v>
      </c>
      <c r="C8" s="36">
        <v>400</v>
      </c>
      <c r="D8" s="36">
        <v>1000</v>
      </c>
      <c r="E8" s="36">
        <v>2000</v>
      </c>
      <c r="F8" s="36">
        <v>3400</v>
      </c>
      <c r="G8" s="22" t="s">
        <v>318</v>
      </c>
    </row>
    <row r="9" spans="2:7" ht="23.25" customHeight="1" x14ac:dyDescent="0.3">
      <c r="B9" s="36">
        <v>200</v>
      </c>
      <c r="C9" s="36">
        <v>500</v>
      </c>
      <c r="D9" s="36">
        <v>1300</v>
      </c>
      <c r="E9" s="36">
        <v>2700</v>
      </c>
      <c r="F9" s="36">
        <v>4500</v>
      </c>
      <c r="G9" s="22" t="s">
        <v>319</v>
      </c>
    </row>
    <row r="10" spans="2:7" ht="15" customHeight="1" x14ac:dyDescent="0.3">
      <c r="B10" s="36">
        <v>260</v>
      </c>
      <c r="C10" s="36">
        <v>650</v>
      </c>
      <c r="D10" s="36">
        <v>1700</v>
      </c>
      <c r="E10" s="36">
        <v>3500</v>
      </c>
      <c r="F10" s="36">
        <v>6000</v>
      </c>
      <c r="G10" s="22" t="s">
        <v>320</v>
      </c>
    </row>
    <row r="13" spans="2:7" ht="15" customHeight="1" x14ac:dyDescent="0.3">
      <c r="B13" s="10" t="s">
        <v>321</v>
      </c>
      <c r="C13" s="10"/>
      <c r="D13" s="10"/>
      <c r="E13" s="10"/>
      <c r="F13" s="10"/>
      <c r="G13" s="10"/>
    </row>
    <row r="14" spans="2:7" ht="15" customHeight="1" x14ac:dyDescent="0.3">
      <c r="B14" s="23" t="s">
        <v>322</v>
      </c>
      <c r="C14" s="50">
        <v>1.6</v>
      </c>
      <c r="D14" s="9" t="s">
        <v>323</v>
      </c>
      <c r="E14" s="9"/>
      <c r="F14" s="9"/>
      <c r="G14" s="9"/>
    </row>
    <row r="15" spans="2:7" ht="15" customHeight="1" x14ac:dyDescent="0.3">
      <c r="B15" s="23" t="s">
        <v>324</v>
      </c>
      <c r="C15" s="51">
        <v>1.1900000000000001E-2</v>
      </c>
    </row>
    <row r="16" spans="2:7" ht="15" customHeight="1" x14ac:dyDescent="0.3">
      <c r="B16" s="23" t="s">
        <v>325</v>
      </c>
      <c r="C16" s="39">
        <f>IF(C15=0,"",C14/C15)</f>
        <v>134.45378151260505</v>
      </c>
    </row>
    <row r="18" spans="2:7" ht="15" customHeight="1" x14ac:dyDescent="0.3">
      <c r="B18" s="10" t="s">
        <v>326</v>
      </c>
      <c r="C18" s="10"/>
      <c r="D18" s="10"/>
      <c r="E18" s="10"/>
      <c r="F18" s="10"/>
      <c r="G18" s="10"/>
    </row>
    <row r="19" spans="2:7" ht="30" customHeight="1" x14ac:dyDescent="0.3">
      <c r="B19" s="25" t="s">
        <v>327</v>
      </c>
      <c r="C19" s="72" t="s">
        <v>328</v>
      </c>
      <c r="D19" s="72"/>
      <c r="E19" s="72"/>
      <c r="F19" s="72"/>
      <c r="G19" s="72"/>
    </row>
    <row r="20" spans="2:7" ht="30" customHeight="1" x14ac:dyDescent="0.3">
      <c r="B20" s="25" t="s">
        <v>329</v>
      </c>
      <c r="C20" s="72" t="s">
        <v>330</v>
      </c>
      <c r="D20" s="72"/>
      <c r="E20" s="72"/>
      <c r="F20" s="72"/>
      <c r="G20" s="72"/>
    </row>
    <row r="21" spans="2:7" ht="30" customHeight="1" x14ac:dyDescent="0.3">
      <c r="B21" s="25" t="s">
        <v>331</v>
      </c>
      <c r="C21" s="72" t="s">
        <v>332</v>
      </c>
      <c r="D21" s="72"/>
      <c r="E21" s="72"/>
      <c r="F21" s="72"/>
      <c r="G21" s="72"/>
    </row>
    <row r="22" spans="2:7" ht="30" customHeight="1" x14ac:dyDescent="0.3">
      <c r="B22" s="25" t="s">
        <v>333</v>
      </c>
      <c r="C22" s="72" t="s">
        <v>334</v>
      </c>
      <c r="D22" s="72"/>
      <c r="E22" s="72"/>
      <c r="F22" s="72"/>
      <c r="G22" s="72"/>
    </row>
    <row r="23" spans="2:7" ht="30" customHeight="1" x14ac:dyDescent="0.3">
      <c r="B23" s="25" t="s">
        <v>335</v>
      </c>
      <c r="C23" s="72" t="s">
        <v>336</v>
      </c>
      <c r="D23" s="72"/>
      <c r="E23" s="72"/>
      <c r="F23" s="72"/>
      <c r="G23" s="72"/>
    </row>
    <row r="24" spans="2:7" ht="30" customHeight="1" x14ac:dyDescent="0.3">
      <c r="B24" s="25" t="s">
        <v>337</v>
      </c>
      <c r="C24" s="72" t="s">
        <v>338</v>
      </c>
      <c r="D24" s="72"/>
      <c r="E24" s="72"/>
      <c r="F24" s="72"/>
      <c r="G24" s="72"/>
    </row>
    <row r="25" spans="2:7" ht="30" customHeight="1" x14ac:dyDescent="0.3">
      <c r="B25" s="25" t="s">
        <v>339</v>
      </c>
      <c r="C25" s="72" t="s">
        <v>340</v>
      </c>
      <c r="D25" s="72"/>
      <c r="E25" s="72"/>
      <c r="F25" s="72"/>
      <c r="G25" s="72"/>
    </row>
    <row r="26" spans="2:7" ht="30" customHeight="1" x14ac:dyDescent="0.3">
      <c r="B26" s="25" t="s">
        <v>341</v>
      </c>
      <c r="C26" s="72" t="s">
        <v>342</v>
      </c>
      <c r="D26" s="72"/>
      <c r="E26" s="72"/>
      <c r="F26" s="72"/>
      <c r="G26" s="72"/>
    </row>
    <row r="28" spans="2:7" ht="15" customHeight="1" x14ac:dyDescent="0.3">
      <c r="B28" s="10" t="s">
        <v>343</v>
      </c>
      <c r="C28" s="10"/>
      <c r="D28" s="10"/>
      <c r="E28" s="10"/>
      <c r="F28" s="10"/>
      <c r="G28" s="10"/>
    </row>
    <row r="29" spans="2:7" ht="69.75" customHeight="1" x14ac:dyDescent="0.3">
      <c r="B29" s="9" t="s">
        <v>344</v>
      </c>
      <c r="C29" s="9"/>
      <c r="D29" s="9"/>
      <c r="E29" s="9"/>
      <c r="F29" s="9"/>
      <c r="G29" s="9"/>
    </row>
    <row r="31" spans="2:7" ht="15" customHeight="1" x14ac:dyDescent="0.3">
      <c r="B31" s="23" t="s">
        <v>345</v>
      </c>
      <c r="C31" s="36">
        <v>1000</v>
      </c>
      <c r="D31" s="9" t="s">
        <v>346</v>
      </c>
      <c r="E31" s="9"/>
      <c r="F31" s="9"/>
      <c r="G31" s="9"/>
    </row>
    <row r="32" spans="2:7" ht="15" customHeight="1" x14ac:dyDescent="0.3">
      <c r="B32" s="23" t="s">
        <v>347</v>
      </c>
      <c r="C32" s="52">
        <v>0.7</v>
      </c>
      <c r="D32" s="9"/>
      <c r="E32" s="9"/>
      <c r="F32" s="9"/>
      <c r="G32" s="9"/>
    </row>
    <row r="33" spans="2:7" ht="15" customHeight="1" x14ac:dyDescent="0.3">
      <c r="B33" s="23" t="s">
        <v>348</v>
      </c>
      <c r="C33" s="39">
        <f>C31*C32</f>
        <v>700</v>
      </c>
      <c r="D33" s="9"/>
      <c r="E33" s="9"/>
      <c r="F33" s="9"/>
      <c r="G33" s="9"/>
    </row>
    <row r="34" spans="2:7" ht="15" customHeight="1" x14ac:dyDescent="0.3">
      <c r="B34" s="23" t="s">
        <v>349</v>
      </c>
      <c r="C34" s="39">
        <f>C31*(1-C32)</f>
        <v>300.00000000000006</v>
      </c>
      <c r="D34" s="9"/>
      <c r="E34" s="9"/>
      <c r="F34" s="9"/>
      <c r="G34" s="9"/>
    </row>
    <row r="36" spans="2:7" ht="55.5" customHeight="1" x14ac:dyDescent="0.3">
      <c r="B36" s="9" t="s">
        <v>350</v>
      </c>
      <c r="C36" s="9"/>
      <c r="D36" s="9"/>
      <c r="E36" s="9"/>
      <c r="F36" s="9"/>
      <c r="G36" s="9"/>
    </row>
  </sheetData>
  <mergeCells count="17">
    <mergeCell ref="D31:G34"/>
    <mergeCell ref="B36:G36"/>
    <mergeCell ref="C24:G24"/>
    <mergeCell ref="C25:G25"/>
    <mergeCell ref="C26:G26"/>
    <mergeCell ref="B28:G28"/>
    <mergeCell ref="B29:G29"/>
    <mergeCell ref="C19:G19"/>
    <mergeCell ref="C20:G20"/>
    <mergeCell ref="C21:G21"/>
    <mergeCell ref="C22:G22"/>
    <mergeCell ref="C23:G23"/>
    <mergeCell ref="B2:G2"/>
    <mergeCell ref="B4:G4"/>
    <mergeCell ref="B13:G13"/>
    <mergeCell ref="D14:G14"/>
    <mergeCell ref="B18:G1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O38"/>
  <sheetViews>
    <sheetView zoomScaleNormal="100" workbookViewId="0"/>
  </sheetViews>
  <sheetFormatPr baseColWidth="10" defaultColWidth="8.6640625" defaultRowHeight="14.4" x14ac:dyDescent="0.3"/>
  <cols>
    <col min="1" max="1" width="3" customWidth="1"/>
    <col min="2" max="2" width="12" customWidth="1"/>
    <col min="3" max="3" width="30" customWidth="1"/>
    <col min="4" max="4" width="12" customWidth="1"/>
    <col min="5" max="5" width="16" customWidth="1"/>
    <col min="6" max="6" width="14" customWidth="1"/>
    <col min="7" max="12" width="13" customWidth="1"/>
    <col min="13" max="15" width="14" customWidth="1"/>
    <col min="16" max="16" width="13" customWidth="1"/>
  </cols>
  <sheetData>
    <row r="2" spans="2:15" ht="24" customHeight="1" x14ac:dyDescent="0.3">
      <c r="B2" s="14" t="s">
        <v>351</v>
      </c>
      <c r="C2" s="14"/>
      <c r="D2" s="14"/>
      <c r="E2" s="14"/>
      <c r="F2" s="14"/>
      <c r="G2" s="14"/>
      <c r="H2" s="14"/>
      <c r="I2" s="14"/>
      <c r="J2" s="14"/>
      <c r="K2" s="14"/>
      <c r="L2" s="14"/>
      <c r="M2" s="14"/>
      <c r="N2" s="14"/>
    </row>
    <row r="3" spans="2:15" ht="30" customHeight="1" x14ac:dyDescent="0.3">
      <c r="B3" s="9" t="s">
        <v>352</v>
      </c>
      <c r="C3" s="9"/>
      <c r="D3" s="9"/>
      <c r="E3" s="9"/>
      <c r="F3" s="9"/>
      <c r="G3" s="9"/>
      <c r="H3" s="9"/>
      <c r="I3" s="9"/>
      <c r="J3" s="9"/>
      <c r="K3" s="9"/>
      <c r="L3" s="9"/>
      <c r="M3" s="9"/>
      <c r="N3" s="9"/>
    </row>
    <row r="5" spans="2:15" ht="15" customHeight="1" x14ac:dyDescent="0.3">
      <c r="B5" s="10" t="s">
        <v>353</v>
      </c>
      <c r="C5" s="10"/>
      <c r="D5" s="10"/>
      <c r="E5" s="10"/>
      <c r="F5" s="10"/>
      <c r="G5" s="10"/>
      <c r="H5" s="10"/>
      <c r="I5" s="10"/>
      <c r="J5" s="10"/>
      <c r="K5" s="10"/>
      <c r="L5" s="10"/>
      <c r="M5" s="10"/>
      <c r="N5" s="10"/>
    </row>
    <row r="6" spans="2:15" ht="39.75" customHeight="1" x14ac:dyDescent="0.3">
      <c r="B6" s="19" t="s">
        <v>190</v>
      </c>
      <c r="C6" s="19" t="s">
        <v>354</v>
      </c>
      <c r="D6" s="19"/>
      <c r="E6" s="19" t="s">
        <v>355</v>
      </c>
      <c r="F6" s="19" t="s">
        <v>356</v>
      </c>
      <c r="G6" s="19" t="s">
        <v>357</v>
      </c>
      <c r="H6" s="19" t="s">
        <v>358</v>
      </c>
      <c r="I6" s="19" t="s">
        <v>359</v>
      </c>
      <c r="J6" s="19" t="s">
        <v>360</v>
      </c>
      <c r="K6" s="19"/>
      <c r="L6" s="19"/>
      <c r="M6" s="19"/>
      <c r="N6" s="19" t="s">
        <v>193</v>
      </c>
    </row>
    <row r="7" spans="2:15" ht="43.5" customHeight="1" x14ac:dyDescent="0.3">
      <c r="B7" s="34" t="s">
        <v>361</v>
      </c>
      <c r="C7" s="72" t="s">
        <v>362</v>
      </c>
      <c r="D7" s="72"/>
      <c r="E7" s="53">
        <v>30</v>
      </c>
      <c r="F7" s="53">
        <v>45</v>
      </c>
      <c r="G7" s="53">
        <v>55</v>
      </c>
      <c r="H7" s="35">
        <v>0.15</v>
      </c>
      <c r="I7" s="29">
        <v>1500</v>
      </c>
      <c r="J7" s="31">
        <v>0</v>
      </c>
      <c r="K7" s="73"/>
      <c r="L7" s="73"/>
      <c r="M7" s="73"/>
      <c r="N7" s="22" t="s">
        <v>363</v>
      </c>
    </row>
    <row r="8" spans="2:15" ht="43.5" customHeight="1" x14ac:dyDescent="0.3">
      <c r="B8" s="34" t="s">
        <v>364</v>
      </c>
      <c r="C8" s="72" t="s">
        <v>365</v>
      </c>
      <c r="D8" s="72"/>
      <c r="E8" s="53">
        <v>0.35</v>
      </c>
      <c r="F8" s="53">
        <v>0.55000000000000004</v>
      </c>
      <c r="G8" s="53">
        <v>0.75</v>
      </c>
      <c r="H8" s="35">
        <v>0.08</v>
      </c>
      <c r="I8" s="29">
        <v>25</v>
      </c>
      <c r="J8" s="31">
        <v>0</v>
      </c>
      <c r="K8" s="73"/>
      <c r="L8" s="73"/>
      <c r="M8" s="73"/>
      <c r="N8" s="22" t="s">
        <v>366</v>
      </c>
    </row>
    <row r="9" spans="2:15" ht="43.5" customHeight="1" x14ac:dyDescent="0.3">
      <c r="B9" s="34" t="s">
        <v>367</v>
      </c>
      <c r="C9" s="72" t="s">
        <v>368</v>
      </c>
      <c r="D9" s="72"/>
      <c r="E9" s="53">
        <v>1.2</v>
      </c>
      <c r="F9" s="53">
        <v>1.8</v>
      </c>
      <c r="G9" s="53">
        <v>2.4</v>
      </c>
      <c r="H9" s="35">
        <v>0.2</v>
      </c>
      <c r="I9" s="29">
        <v>25</v>
      </c>
      <c r="J9" s="31">
        <v>0</v>
      </c>
      <c r="K9" s="73"/>
      <c r="L9" s="73"/>
      <c r="M9" s="73"/>
      <c r="N9" s="22" t="s">
        <v>369</v>
      </c>
    </row>
    <row r="10" spans="2:15" ht="27.75" customHeight="1" x14ac:dyDescent="0.3">
      <c r="B10" s="9" t="s">
        <v>370</v>
      </c>
      <c r="C10" s="9"/>
      <c r="D10" s="9"/>
      <c r="E10" s="9"/>
      <c r="F10" s="9"/>
      <c r="G10" s="9"/>
      <c r="H10" s="9"/>
      <c r="I10" s="9"/>
      <c r="J10" s="9"/>
      <c r="K10" s="9"/>
      <c r="L10" s="9"/>
      <c r="M10" s="9"/>
      <c r="N10" s="9"/>
    </row>
    <row r="12" spans="2:15" ht="15" customHeight="1" x14ac:dyDescent="0.3">
      <c r="B12" s="10" t="s">
        <v>371</v>
      </c>
      <c r="C12" s="10"/>
      <c r="D12" s="10"/>
      <c r="E12" s="10"/>
      <c r="F12" s="10"/>
      <c r="G12" s="10"/>
      <c r="H12" s="10"/>
      <c r="I12" s="10"/>
      <c r="J12" s="10"/>
      <c r="K12" s="10"/>
      <c r="L12" s="10"/>
      <c r="M12" s="10"/>
      <c r="N12" s="10"/>
    </row>
    <row r="13" spans="2:15" ht="43.5" customHeight="1" x14ac:dyDescent="0.3">
      <c r="B13" s="19" t="s">
        <v>273</v>
      </c>
      <c r="C13" s="19" t="s">
        <v>274</v>
      </c>
      <c r="D13" s="19" t="s">
        <v>275</v>
      </c>
      <c r="E13" s="19" t="s">
        <v>372</v>
      </c>
      <c r="F13" s="19" t="s">
        <v>373</v>
      </c>
      <c r="G13" s="19" t="s">
        <v>374</v>
      </c>
      <c r="H13" s="19" t="s">
        <v>375</v>
      </c>
      <c r="I13" s="19" t="s">
        <v>376</v>
      </c>
      <c r="J13" s="19" t="s">
        <v>377</v>
      </c>
      <c r="K13" s="19" t="s">
        <v>359</v>
      </c>
      <c r="L13" s="19" t="s">
        <v>378</v>
      </c>
      <c r="M13" s="19" t="s">
        <v>379</v>
      </c>
      <c r="N13" s="19" t="s">
        <v>380</v>
      </c>
      <c r="O13" s="19" t="s">
        <v>381</v>
      </c>
    </row>
    <row r="14" spans="2:15" ht="15" customHeight="1" x14ac:dyDescent="0.3">
      <c r="B14" s="27" t="s">
        <v>290</v>
      </c>
      <c r="C14" s="37" t="s">
        <v>291</v>
      </c>
      <c r="D14" s="29">
        <v>1250</v>
      </c>
      <c r="E14" s="27" t="s">
        <v>364</v>
      </c>
      <c r="F14" s="27" t="s">
        <v>382</v>
      </c>
      <c r="G14" s="42">
        <f t="shared" ref="G14:G28" si="0">IF($B14="","",VLOOKUP(E14,$B$7:$J$9,IF(F14="SP6",4,IF(F14="SP10",5,6)),0)*IF(O14="",1,VLOOKUP(O14,$B$33:$E$36,4,0)))</f>
        <v>0.55000000000000004</v>
      </c>
      <c r="H14" s="39">
        <f t="shared" ref="H14:H28" si="1">IF($B14="","",D14*G14)</f>
        <v>687.5</v>
      </c>
      <c r="I14" s="54">
        <f t="shared" ref="I14:I28" si="2">IF($B14="","",VLOOKUP(E14,$B$7:$J$9,7,0))</f>
        <v>0.08</v>
      </c>
      <c r="J14" s="39">
        <f t="shared" ref="J14:J28" si="3">IF($B14="","",H14*(1+I14))</f>
        <v>742.5</v>
      </c>
      <c r="K14" s="55">
        <f t="shared" ref="K14:K28" si="4">IF($B14="","",VLOOKUP(E14,$B$7:$J$9,8,0))</f>
        <v>25</v>
      </c>
      <c r="L14" s="39">
        <f t="shared" ref="L14:L28" si="5">IF($B14="","",ROUNDUP(J14/K14,0))</f>
        <v>30</v>
      </c>
      <c r="M14" s="39">
        <f t="shared" ref="M14:M28" si="6">IF($B14="","",L14*K14)</f>
        <v>750</v>
      </c>
      <c r="N14" s="47">
        <f t="shared" ref="N14:N28" si="7">IF($B14="","",L14*VLOOKUP(E14,$B$7:$J$9,9,0))</f>
        <v>0</v>
      </c>
      <c r="O14" s="56" t="s">
        <v>383</v>
      </c>
    </row>
    <row r="15" spans="2:15" ht="15" customHeight="1" x14ac:dyDescent="0.3">
      <c r="B15" s="27" t="s">
        <v>292</v>
      </c>
      <c r="C15" s="37" t="s">
        <v>293</v>
      </c>
      <c r="D15" s="29">
        <v>800</v>
      </c>
      <c r="E15" s="27" t="s">
        <v>367</v>
      </c>
      <c r="F15" s="27" t="s">
        <v>382</v>
      </c>
      <c r="G15" s="42">
        <f t="shared" si="0"/>
        <v>2.52</v>
      </c>
      <c r="H15" s="39">
        <f t="shared" si="1"/>
        <v>2016</v>
      </c>
      <c r="I15" s="54">
        <f t="shared" si="2"/>
        <v>0.2</v>
      </c>
      <c r="J15" s="39">
        <f t="shared" si="3"/>
        <v>2419.1999999999998</v>
      </c>
      <c r="K15" s="55">
        <f t="shared" si="4"/>
        <v>25</v>
      </c>
      <c r="L15" s="39">
        <f t="shared" si="5"/>
        <v>97</v>
      </c>
      <c r="M15" s="39">
        <f t="shared" si="6"/>
        <v>2425</v>
      </c>
      <c r="N15" s="47">
        <f t="shared" si="7"/>
        <v>0</v>
      </c>
      <c r="O15" s="56" t="s">
        <v>384</v>
      </c>
    </row>
    <row r="16" spans="2:15" ht="26.25" customHeight="1" x14ac:dyDescent="0.3">
      <c r="B16" s="27" t="s">
        <v>294</v>
      </c>
      <c r="C16" s="37" t="s">
        <v>295</v>
      </c>
      <c r="D16" s="29">
        <v>600</v>
      </c>
      <c r="E16" s="27" t="s">
        <v>364</v>
      </c>
      <c r="F16" s="27" t="s">
        <v>382</v>
      </c>
      <c r="G16" s="42">
        <f t="shared" si="0"/>
        <v>0.71500000000000008</v>
      </c>
      <c r="H16" s="39">
        <f t="shared" si="1"/>
        <v>429.00000000000006</v>
      </c>
      <c r="I16" s="54">
        <f t="shared" si="2"/>
        <v>0.08</v>
      </c>
      <c r="J16" s="39">
        <f t="shared" si="3"/>
        <v>463.32000000000011</v>
      </c>
      <c r="K16" s="55">
        <f t="shared" si="4"/>
        <v>25</v>
      </c>
      <c r="L16" s="39">
        <f t="shared" si="5"/>
        <v>19</v>
      </c>
      <c r="M16" s="39">
        <f t="shared" si="6"/>
        <v>475</v>
      </c>
      <c r="N16" s="47">
        <f t="shared" si="7"/>
        <v>0</v>
      </c>
      <c r="O16" s="56" t="s">
        <v>385</v>
      </c>
    </row>
    <row r="17" spans="2:15" ht="15" customHeight="1" x14ac:dyDescent="0.3">
      <c r="B17" s="27"/>
      <c r="C17" s="27"/>
      <c r="D17" s="27"/>
      <c r="E17" s="27"/>
      <c r="F17" s="27"/>
      <c r="G17" s="42" t="str">
        <f t="shared" si="0"/>
        <v/>
      </c>
      <c r="H17" s="39" t="str">
        <f t="shared" si="1"/>
        <v/>
      </c>
      <c r="I17" s="54" t="str">
        <f t="shared" si="2"/>
        <v/>
      </c>
      <c r="J17" s="39" t="str">
        <f t="shared" si="3"/>
        <v/>
      </c>
      <c r="K17" s="55" t="str">
        <f t="shared" si="4"/>
        <v/>
      </c>
      <c r="L17" s="39" t="str">
        <f t="shared" si="5"/>
        <v/>
      </c>
      <c r="M17" s="39" t="str">
        <f t="shared" si="6"/>
        <v/>
      </c>
      <c r="N17" s="47" t="str">
        <f t="shared" si="7"/>
        <v/>
      </c>
      <c r="O17" s="56"/>
    </row>
    <row r="18" spans="2:15" ht="15" customHeight="1" x14ac:dyDescent="0.3">
      <c r="B18" s="27"/>
      <c r="C18" s="27"/>
      <c r="D18" s="27"/>
      <c r="E18" s="27"/>
      <c r="F18" s="27"/>
      <c r="G18" s="42" t="str">
        <f t="shared" si="0"/>
        <v/>
      </c>
      <c r="H18" s="39" t="str">
        <f t="shared" si="1"/>
        <v/>
      </c>
      <c r="I18" s="54" t="str">
        <f t="shared" si="2"/>
        <v/>
      </c>
      <c r="J18" s="39" t="str">
        <f t="shared" si="3"/>
        <v/>
      </c>
      <c r="K18" s="55" t="str">
        <f t="shared" si="4"/>
        <v/>
      </c>
      <c r="L18" s="39" t="str">
        <f t="shared" si="5"/>
        <v/>
      </c>
      <c r="M18" s="39" t="str">
        <f t="shared" si="6"/>
        <v/>
      </c>
      <c r="N18" s="47" t="str">
        <f t="shared" si="7"/>
        <v/>
      </c>
      <c r="O18" s="56"/>
    </row>
    <row r="19" spans="2:15" ht="15" customHeight="1" x14ac:dyDescent="0.3">
      <c r="B19" s="27"/>
      <c r="C19" s="27"/>
      <c r="D19" s="27"/>
      <c r="E19" s="27"/>
      <c r="F19" s="27"/>
      <c r="G19" s="42" t="str">
        <f t="shared" si="0"/>
        <v/>
      </c>
      <c r="H19" s="39" t="str">
        <f t="shared" si="1"/>
        <v/>
      </c>
      <c r="I19" s="54" t="str">
        <f t="shared" si="2"/>
        <v/>
      </c>
      <c r="J19" s="39" t="str">
        <f t="shared" si="3"/>
        <v/>
      </c>
      <c r="K19" s="55" t="str">
        <f t="shared" si="4"/>
        <v/>
      </c>
      <c r="L19" s="39" t="str">
        <f t="shared" si="5"/>
        <v/>
      </c>
      <c r="M19" s="39" t="str">
        <f t="shared" si="6"/>
        <v/>
      </c>
      <c r="N19" s="47" t="str">
        <f t="shared" si="7"/>
        <v/>
      </c>
      <c r="O19" s="56"/>
    </row>
    <row r="20" spans="2:15" ht="15" customHeight="1" x14ac:dyDescent="0.3">
      <c r="B20" s="27"/>
      <c r="C20" s="27"/>
      <c r="D20" s="27"/>
      <c r="E20" s="27"/>
      <c r="F20" s="27"/>
      <c r="G20" s="42" t="str">
        <f t="shared" si="0"/>
        <v/>
      </c>
      <c r="H20" s="39" t="str">
        <f t="shared" si="1"/>
        <v/>
      </c>
      <c r="I20" s="54" t="str">
        <f t="shared" si="2"/>
        <v/>
      </c>
      <c r="J20" s="39" t="str">
        <f t="shared" si="3"/>
        <v/>
      </c>
      <c r="K20" s="55" t="str">
        <f t="shared" si="4"/>
        <v/>
      </c>
      <c r="L20" s="39" t="str">
        <f t="shared" si="5"/>
        <v/>
      </c>
      <c r="M20" s="39" t="str">
        <f t="shared" si="6"/>
        <v/>
      </c>
      <c r="N20" s="47" t="str">
        <f t="shared" si="7"/>
        <v/>
      </c>
      <c r="O20" s="56"/>
    </row>
    <row r="21" spans="2:15" ht="15" customHeight="1" x14ac:dyDescent="0.3">
      <c r="B21" s="27"/>
      <c r="C21" s="27"/>
      <c r="D21" s="27"/>
      <c r="E21" s="27"/>
      <c r="F21" s="27"/>
      <c r="G21" s="42" t="str">
        <f t="shared" si="0"/>
        <v/>
      </c>
      <c r="H21" s="39" t="str">
        <f t="shared" si="1"/>
        <v/>
      </c>
      <c r="I21" s="54" t="str">
        <f t="shared" si="2"/>
        <v/>
      </c>
      <c r="J21" s="39" t="str">
        <f t="shared" si="3"/>
        <v/>
      </c>
      <c r="K21" s="55" t="str">
        <f t="shared" si="4"/>
        <v/>
      </c>
      <c r="L21" s="39" t="str">
        <f t="shared" si="5"/>
        <v/>
      </c>
      <c r="M21" s="39" t="str">
        <f t="shared" si="6"/>
        <v/>
      </c>
      <c r="N21" s="47" t="str">
        <f t="shared" si="7"/>
        <v/>
      </c>
      <c r="O21" s="56"/>
    </row>
    <row r="22" spans="2:15" ht="15" customHeight="1" x14ac:dyDescent="0.3">
      <c r="B22" s="27"/>
      <c r="C22" s="27"/>
      <c r="D22" s="27"/>
      <c r="E22" s="27"/>
      <c r="F22" s="27"/>
      <c r="G22" s="42" t="str">
        <f t="shared" si="0"/>
        <v/>
      </c>
      <c r="H22" s="39" t="str">
        <f t="shared" si="1"/>
        <v/>
      </c>
      <c r="I22" s="54" t="str">
        <f t="shared" si="2"/>
        <v/>
      </c>
      <c r="J22" s="39" t="str">
        <f t="shared" si="3"/>
        <v/>
      </c>
      <c r="K22" s="55" t="str">
        <f t="shared" si="4"/>
        <v/>
      </c>
      <c r="L22" s="39" t="str">
        <f t="shared" si="5"/>
        <v/>
      </c>
      <c r="M22" s="39" t="str">
        <f t="shared" si="6"/>
        <v/>
      </c>
      <c r="N22" s="47" t="str">
        <f t="shared" si="7"/>
        <v/>
      </c>
      <c r="O22" s="56"/>
    </row>
    <row r="23" spans="2:15" ht="15" customHeight="1" x14ac:dyDescent="0.3">
      <c r="B23" s="27"/>
      <c r="C23" s="27"/>
      <c r="D23" s="27"/>
      <c r="E23" s="27"/>
      <c r="F23" s="27"/>
      <c r="G23" s="42" t="str">
        <f t="shared" si="0"/>
        <v/>
      </c>
      <c r="H23" s="39" t="str">
        <f t="shared" si="1"/>
        <v/>
      </c>
      <c r="I23" s="54" t="str">
        <f t="shared" si="2"/>
        <v/>
      </c>
      <c r="J23" s="39" t="str">
        <f t="shared" si="3"/>
        <v/>
      </c>
      <c r="K23" s="55" t="str">
        <f t="shared" si="4"/>
        <v/>
      </c>
      <c r="L23" s="39" t="str">
        <f t="shared" si="5"/>
        <v/>
      </c>
      <c r="M23" s="39" t="str">
        <f t="shared" si="6"/>
        <v/>
      </c>
      <c r="N23" s="47" t="str">
        <f t="shared" si="7"/>
        <v/>
      </c>
      <c r="O23" s="56"/>
    </row>
    <row r="24" spans="2:15" ht="15" customHeight="1" x14ac:dyDescent="0.3">
      <c r="B24" s="27"/>
      <c r="C24" s="27"/>
      <c r="D24" s="27"/>
      <c r="E24" s="27"/>
      <c r="F24" s="27"/>
      <c r="G24" s="42" t="str">
        <f t="shared" si="0"/>
        <v/>
      </c>
      <c r="H24" s="39" t="str">
        <f t="shared" si="1"/>
        <v/>
      </c>
      <c r="I24" s="54" t="str">
        <f t="shared" si="2"/>
        <v/>
      </c>
      <c r="J24" s="39" t="str">
        <f t="shared" si="3"/>
        <v/>
      </c>
      <c r="K24" s="55" t="str">
        <f t="shared" si="4"/>
        <v/>
      </c>
      <c r="L24" s="39" t="str">
        <f t="shared" si="5"/>
        <v/>
      </c>
      <c r="M24" s="39" t="str">
        <f t="shared" si="6"/>
        <v/>
      </c>
      <c r="N24" s="47" t="str">
        <f t="shared" si="7"/>
        <v/>
      </c>
      <c r="O24" s="56"/>
    </row>
    <row r="25" spans="2:15" ht="15" customHeight="1" x14ac:dyDescent="0.3">
      <c r="B25" s="27"/>
      <c r="C25" s="27"/>
      <c r="D25" s="27"/>
      <c r="E25" s="27"/>
      <c r="F25" s="27"/>
      <c r="G25" s="42" t="str">
        <f t="shared" si="0"/>
        <v/>
      </c>
      <c r="H25" s="39" t="str">
        <f t="shared" si="1"/>
        <v/>
      </c>
      <c r="I25" s="54" t="str">
        <f t="shared" si="2"/>
        <v/>
      </c>
      <c r="J25" s="39" t="str">
        <f t="shared" si="3"/>
        <v/>
      </c>
      <c r="K25" s="55" t="str">
        <f t="shared" si="4"/>
        <v/>
      </c>
      <c r="L25" s="39" t="str">
        <f t="shared" si="5"/>
        <v/>
      </c>
      <c r="M25" s="39" t="str">
        <f t="shared" si="6"/>
        <v/>
      </c>
      <c r="N25" s="47" t="str">
        <f t="shared" si="7"/>
        <v/>
      </c>
      <c r="O25" s="56"/>
    </row>
    <row r="26" spans="2:15" ht="15" customHeight="1" x14ac:dyDescent="0.3">
      <c r="B26" s="27"/>
      <c r="C26" s="27"/>
      <c r="D26" s="27"/>
      <c r="E26" s="27"/>
      <c r="F26" s="27"/>
      <c r="G26" s="42" t="str">
        <f t="shared" si="0"/>
        <v/>
      </c>
      <c r="H26" s="39" t="str">
        <f t="shared" si="1"/>
        <v/>
      </c>
      <c r="I26" s="54" t="str">
        <f t="shared" si="2"/>
        <v/>
      </c>
      <c r="J26" s="39" t="str">
        <f t="shared" si="3"/>
        <v/>
      </c>
      <c r="K26" s="55" t="str">
        <f t="shared" si="4"/>
        <v/>
      </c>
      <c r="L26" s="39" t="str">
        <f t="shared" si="5"/>
        <v/>
      </c>
      <c r="M26" s="39" t="str">
        <f t="shared" si="6"/>
        <v/>
      </c>
      <c r="N26" s="47" t="str">
        <f t="shared" si="7"/>
        <v/>
      </c>
      <c r="O26" s="56"/>
    </row>
    <row r="27" spans="2:15" ht="15" customHeight="1" x14ac:dyDescent="0.3">
      <c r="B27" s="27"/>
      <c r="C27" s="27"/>
      <c r="D27" s="27"/>
      <c r="E27" s="27"/>
      <c r="F27" s="27"/>
      <c r="G27" s="42" t="str">
        <f t="shared" si="0"/>
        <v/>
      </c>
      <c r="H27" s="39" t="str">
        <f t="shared" si="1"/>
        <v/>
      </c>
      <c r="I27" s="54" t="str">
        <f t="shared" si="2"/>
        <v/>
      </c>
      <c r="J27" s="39" t="str">
        <f t="shared" si="3"/>
        <v/>
      </c>
      <c r="K27" s="55" t="str">
        <f t="shared" si="4"/>
        <v/>
      </c>
      <c r="L27" s="39" t="str">
        <f t="shared" si="5"/>
        <v/>
      </c>
      <c r="M27" s="39" t="str">
        <f t="shared" si="6"/>
        <v/>
      </c>
      <c r="N27" s="47" t="str">
        <f t="shared" si="7"/>
        <v/>
      </c>
      <c r="O27" s="56"/>
    </row>
    <row r="28" spans="2:15" ht="15" customHeight="1" x14ac:dyDescent="0.3">
      <c r="B28" s="27"/>
      <c r="C28" s="27"/>
      <c r="D28" s="27"/>
      <c r="E28" s="27"/>
      <c r="F28" s="27"/>
      <c r="G28" s="42" t="str">
        <f t="shared" si="0"/>
        <v/>
      </c>
      <c r="H28" s="39" t="str">
        <f t="shared" si="1"/>
        <v/>
      </c>
      <c r="I28" s="54" t="str">
        <f t="shared" si="2"/>
        <v/>
      </c>
      <c r="J28" s="39" t="str">
        <f t="shared" si="3"/>
        <v/>
      </c>
      <c r="K28" s="55" t="str">
        <f t="shared" si="4"/>
        <v/>
      </c>
      <c r="L28" s="39" t="str">
        <f t="shared" si="5"/>
        <v/>
      </c>
      <c r="M28" s="39" t="str">
        <f t="shared" si="6"/>
        <v/>
      </c>
      <c r="N28" s="47" t="str">
        <f t="shared" si="7"/>
        <v/>
      </c>
      <c r="O28" s="56"/>
    </row>
    <row r="29" spans="2:15" ht="15" customHeight="1" x14ac:dyDescent="0.3">
      <c r="C29" s="43" t="s">
        <v>298</v>
      </c>
      <c r="H29" s="48">
        <f>SUM(H14:H28)</f>
        <v>3132.5</v>
      </c>
      <c r="J29" s="48">
        <f>SUM(J14:J28)</f>
        <v>3625.02</v>
      </c>
      <c r="M29" s="48">
        <f>SUM(M14:M28)</f>
        <v>3650</v>
      </c>
      <c r="N29" s="49">
        <f>SUM(N14:N28)</f>
        <v>0</v>
      </c>
    </row>
    <row r="31" spans="2:15" ht="15" customHeight="1" x14ac:dyDescent="0.3">
      <c r="B31" s="10" t="s">
        <v>386</v>
      </c>
      <c r="C31" s="10"/>
      <c r="D31" s="10"/>
      <c r="E31" s="10"/>
      <c r="F31" s="10"/>
      <c r="G31" s="10"/>
      <c r="H31" s="10"/>
      <c r="I31" s="10"/>
      <c r="J31" s="10"/>
      <c r="K31" s="10"/>
      <c r="L31" s="10"/>
      <c r="M31" s="10"/>
      <c r="N31" s="10"/>
    </row>
    <row r="32" spans="2:15" ht="30" customHeight="1" x14ac:dyDescent="0.3">
      <c r="B32" s="19" t="s">
        <v>387</v>
      </c>
      <c r="C32" s="19" t="s">
        <v>388</v>
      </c>
      <c r="D32" s="19"/>
      <c r="E32" s="19" t="s">
        <v>389</v>
      </c>
      <c r="F32" s="19"/>
      <c r="G32" s="19"/>
      <c r="H32" s="19"/>
      <c r="I32" s="19"/>
      <c r="J32" s="19"/>
      <c r="K32" s="19"/>
      <c r="L32" s="19"/>
      <c r="M32" s="19"/>
      <c r="N32" s="19" t="s">
        <v>390</v>
      </c>
    </row>
    <row r="33" spans="2:14" ht="57.75" customHeight="1" x14ac:dyDescent="0.3">
      <c r="B33" s="57" t="s">
        <v>385</v>
      </c>
      <c r="C33" s="72" t="s">
        <v>391</v>
      </c>
      <c r="D33" s="72"/>
      <c r="E33" s="74">
        <v>1.3</v>
      </c>
      <c r="F33" s="74"/>
      <c r="G33" s="73"/>
      <c r="H33" s="73"/>
      <c r="I33" s="73"/>
      <c r="J33" s="73"/>
      <c r="K33" s="73"/>
      <c r="L33" s="73"/>
      <c r="M33" s="73"/>
      <c r="N33" s="22" t="s">
        <v>392</v>
      </c>
    </row>
    <row r="34" spans="2:14" ht="57.75" customHeight="1" x14ac:dyDescent="0.3">
      <c r="B34" s="57" t="s">
        <v>383</v>
      </c>
      <c r="C34" s="72" t="s">
        <v>393</v>
      </c>
      <c r="D34" s="72"/>
      <c r="E34" s="74">
        <v>1</v>
      </c>
      <c r="F34" s="74"/>
      <c r="G34" s="73"/>
      <c r="H34" s="73"/>
      <c r="I34" s="73"/>
      <c r="J34" s="73"/>
      <c r="K34" s="73"/>
      <c r="L34" s="73"/>
      <c r="M34" s="73"/>
      <c r="N34" s="22" t="s">
        <v>394</v>
      </c>
    </row>
    <row r="35" spans="2:14" ht="57.75" customHeight="1" x14ac:dyDescent="0.3">
      <c r="B35" s="57" t="s">
        <v>384</v>
      </c>
      <c r="C35" s="72" t="s">
        <v>395</v>
      </c>
      <c r="D35" s="72"/>
      <c r="E35" s="74">
        <v>1.4</v>
      </c>
      <c r="F35" s="74"/>
      <c r="G35" s="73"/>
      <c r="H35" s="73"/>
      <c r="I35" s="73"/>
      <c r="J35" s="73"/>
      <c r="K35" s="73"/>
      <c r="L35" s="73"/>
      <c r="M35" s="73"/>
      <c r="N35" s="22" t="s">
        <v>396</v>
      </c>
    </row>
    <row r="36" spans="2:14" ht="57.75" customHeight="1" x14ac:dyDescent="0.3">
      <c r="B36" s="57" t="s">
        <v>397</v>
      </c>
      <c r="C36" s="72" t="s">
        <v>398</v>
      </c>
      <c r="D36" s="72"/>
      <c r="E36" s="74">
        <v>1.9</v>
      </c>
      <c r="F36" s="74"/>
      <c r="G36" s="73"/>
      <c r="H36" s="73"/>
      <c r="I36" s="73"/>
      <c r="J36" s="73"/>
      <c r="K36" s="73"/>
      <c r="L36" s="73"/>
      <c r="M36" s="73"/>
      <c r="N36" s="22" t="s">
        <v>399</v>
      </c>
    </row>
    <row r="38" spans="2:14" ht="42" customHeight="1" x14ac:dyDescent="0.3">
      <c r="B38" s="9" t="s">
        <v>400</v>
      </c>
      <c r="C38" s="9"/>
      <c r="D38" s="9"/>
      <c r="E38" s="9"/>
      <c r="F38" s="9"/>
      <c r="G38" s="9"/>
      <c r="H38" s="9"/>
      <c r="I38" s="9"/>
      <c r="J38" s="9"/>
      <c r="K38" s="9"/>
      <c r="L38" s="9"/>
      <c r="M38" s="9"/>
      <c r="N38" s="9"/>
    </row>
  </sheetData>
  <mergeCells count="25">
    <mergeCell ref="C36:D36"/>
    <mergeCell ref="E36:F36"/>
    <mergeCell ref="G36:M36"/>
    <mergeCell ref="B38:N38"/>
    <mergeCell ref="C34:D34"/>
    <mergeCell ref="E34:F34"/>
    <mergeCell ref="G34:M34"/>
    <mergeCell ref="C35:D35"/>
    <mergeCell ref="E35:F35"/>
    <mergeCell ref="G35:M35"/>
    <mergeCell ref="B12:N12"/>
    <mergeCell ref="B31:N31"/>
    <mergeCell ref="C33:D33"/>
    <mergeCell ref="E33:F33"/>
    <mergeCell ref="G33:M33"/>
    <mergeCell ref="C8:D8"/>
    <mergeCell ref="K8:M8"/>
    <mergeCell ref="C9:D9"/>
    <mergeCell ref="K9:M9"/>
    <mergeCell ref="B10:N10"/>
    <mergeCell ref="B2:N2"/>
    <mergeCell ref="B3:N3"/>
    <mergeCell ref="B5:N5"/>
    <mergeCell ref="C7:D7"/>
    <mergeCell ref="K7:M7"/>
  </mergeCells>
  <dataValidations count="3">
    <dataValidation type="list" allowBlank="1" sqref="E14:E28" xr:uid="{00000000-0002-0000-0800-000000000000}">
      <formula1>"AB1,AB2,AB3"</formula1>
      <formula2>0</formula2>
    </dataValidation>
    <dataValidation type="list" allowBlank="1" sqref="F14:F28" xr:uid="{00000000-0002-0000-0800-000001000000}">
      <formula1>"SP6,SP10,SP5"</formula1>
      <formula2>0</formula2>
    </dataValidation>
    <dataValidation type="list" allowBlank="1" sqref="O14:O28" xr:uid="{00000000-0002-0000-0800-000002000000}">
      <formula1>"A,B,C,D"</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61"/>
  <sheetViews>
    <sheetView zoomScaleNormal="100" workbookViewId="0"/>
  </sheetViews>
  <sheetFormatPr baseColWidth="10" defaultColWidth="8.6640625" defaultRowHeight="14.4" x14ac:dyDescent="0.3"/>
  <cols>
    <col min="1" max="1" width="3" customWidth="1"/>
    <col min="2" max="2" width="22" customWidth="1"/>
    <col min="3" max="3" width="120" customWidth="1"/>
  </cols>
  <sheetData>
    <row r="2" spans="2:3" ht="24" customHeight="1" x14ac:dyDescent="0.3">
      <c r="B2" s="14" t="s">
        <v>401</v>
      </c>
      <c r="C2" s="14"/>
    </row>
    <row r="4" spans="2:3" ht="15" customHeight="1" x14ac:dyDescent="0.3">
      <c r="B4" s="10" t="s">
        <v>402</v>
      </c>
      <c r="C4" s="10"/>
    </row>
    <row r="5" spans="2:3" ht="27.75" customHeight="1" x14ac:dyDescent="0.3">
      <c r="B5" s="25" t="s">
        <v>403</v>
      </c>
      <c r="C5" s="22" t="s">
        <v>404</v>
      </c>
    </row>
    <row r="6" spans="2:3" ht="27.75" customHeight="1" x14ac:dyDescent="0.3">
      <c r="B6" s="25" t="s">
        <v>405</v>
      </c>
      <c r="C6" s="22" t="s">
        <v>406</v>
      </c>
    </row>
    <row r="7" spans="2:3" ht="27.75" customHeight="1" x14ac:dyDescent="0.3">
      <c r="B7" s="25" t="s">
        <v>407</v>
      </c>
      <c r="C7" s="22" t="s">
        <v>408</v>
      </c>
    </row>
    <row r="8" spans="2:3" ht="27.75" customHeight="1" x14ac:dyDescent="0.3">
      <c r="B8" s="25" t="s">
        <v>409</v>
      </c>
      <c r="C8" s="22" t="s">
        <v>410</v>
      </c>
    </row>
    <row r="9" spans="2:3" ht="15.75" customHeight="1" x14ac:dyDescent="0.3">
      <c r="B9" s="25" t="s">
        <v>411</v>
      </c>
      <c r="C9" s="22" t="s">
        <v>412</v>
      </c>
    </row>
    <row r="10" spans="2:3" ht="27.75" customHeight="1" x14ac:dyDescent="0.3">
      <c r="B10" s="25" t="s">
        <v>413</v>
      </c>
      <c r="C10" s="22" t="s">
        <v>414</v>
      </c>
    </row>
    <row r="11" spans="2:3" ht="27.75" customHeight="1" x14ac:dyDescent="0.3">
      <c r="B11" s="25" t="s">
        <v>415</v>
      </c>
      <c r="C11" s="22" t="s">
        <v>416</v>
      </c>
    </row>
    <row r="12" spans="2:3" ht="27.75" customHeight="1" x14ac:dyDescent="0.3">
      <c r="B12" s="25" t="s">
        <v>417</v>
      </c>
      <c r="C12" s="22" t="s">
        <v>418</v>
      </c>
    </row>
    <row r="13" spans="2:3" ht="27.75" customHeight="1" x14ac:dyDescent="0.3">
      <c r="B13" s="25" t="s">
        <v>419</v>
      </c>
      <c r="C13" s="22" t="s">
        <v>420</v>
      </c>
    </row>
    <row r="14" spans="2:3" ht="27.75" customHeight="1" x14ac:dyDescent="0.3">
      <c r="B14" s="25" t="s">
        <v>421</v>
      </c>
      <c r="C14" s="22" t="s">
        <v>422</v>
      </c>
    </row>
    <row r="15" spans="2:3" ht="15.75" customHeight="1" x14ac:dyDescent="0.3">
      <c r="B15" s="25" t="s">
        <v>423</v>
      </c>
      <c r="C15" s="22" t="s">
        <v>424</v>
      </c>
    </row>
    <row r="16" spans="2:3" ht="27.75" customHeight="1" x14ac:dyDescent="0.3">
      <c r="B16" s="25" t="s">
        <v>425</v>
      </c>
      <c r="C16" s="22" t="s">
        <v>426</v>
      </c>
    </row>
    <row r="17" spans="2:3" ht="27.75" customHeight="1" x14ac:dyDescent="0.3">
      <c r="B17" s="25" t="s">
        <v>427</v>
      </c>
      <c r="C17" s="22" t="s">
        <v>428</v>
      </c>
    </row>
    <row r="18" spans="2:3" ht="15.75" customHeight="1" x14ac:dyDescent="0.3">
      <c r="B18" s="25" t="s">
        <v>429</v>
      </c>
      <c r="C18" s="22" t="s">
        <v>430</v>
      </c>
    </row>
    <row r="19" spans="2:3" ht="27.75" customHeight="1" x14ac:dyDescent="0.3">
      <c r="B19" s="25" t="s">
        <v>431</v>
      </c>
      <c r="C19" s="22" t="s">
        <v>432</v>
      </c>
    </row>
    <row r="20" spans="2:3" ht="15" customHeight="1" x14ac:dyDescent="0.3">
      <c r="B20" s="10" t="s">
        <v>433</v>
      </c>
      <c r="C20" s="10"/>
    </row>
    <row r="21" spans="2:3" ht="27.75" customHeight="1" x14ac:dyDescent="0.3">
      <c r="B21" s="25" t="s">
        <v>434</v>
      </c>
      <c r="C21" s="22" t="s">
        <v>435</v>
      </c>
    </row>
    <row r="22" spans="2:3" ht="27.75" customHeight="1" x14ac:dyDescent="0.3">
      <c r="B22" s="25" t="s">
        <v>436</v>
      </c>
      <c r="C22" s="22" t="s">
        <v>437</v>
      </c>
    </row>
    <row r="23" spans="2:3" ht="27.75" customHeight="1" x14ac:dyDescent="0.3">
      <c r="B23" s="25" t="s">
        <v>438</v>
      </c>
      <c r="C23" s="22" t="s">
        <v>439</v>
      </c>
    </row>
    <row r="24" spans="2:3" ht="27.75" customHeight="1" x14ac:dyDescent="0.3">
      <c r="B24" s="25" t="s">
        <v>382</v>
      </c>
      <c r="C24" s="22" t="s">
        <v>440</v>
      </c>
    </row>
    <row r="25" spans="2:3" ht="27.75" customHeight="1" x14ac:dyDescent="0.3">
      <c r="B25" s="25" t="s">
        <v>441</v>
      </c>
      <c r="C25" s="22" t="s">
        <v>442</v>
      </c>
    </row>
    <row r="26" spans="2:3" ht="27.75" customHeight="1" x14ac:dyDescent="0.3">
      <c r="B26" s="25" t="s">
        <v>30</v>
      </c>
      <c r="C26" s="22" t="s">
        <v>443</v>
      </c>
    </row>
    <row r="27" spans="2:3" ht="27.75" customHeight="1" x14ac:dyDescent="0.3">
      <c r="B27" s="25" t="s">
        <v>444</v>
      </c>
      <c r="C27" s="22" t="s">
        <v>445</v>
      </c>
    </row>
    <row r="28" spans="2:3" ht="27.75" customHeight="1" x14ac:dyDescent="0.3">
      <c r="B28" s="25" t="s">
        <v>446</v>
      </c>
      <c r="C28" s="22" t="s">
        <v>447</v>
      </c>
    </row>
    <row r="29" spans="2:3" ht="27.75" customHeight="1" x14ac:dyDescent="0.3">
      <c r="B29" s="25" t="s">
        <v>448</v>
      </c>
      <c r="C29" s="22" t="s">
        <v>449</v>
      </c>
    </row>
    <row r="30" spans="2:3" ht="15" customHeight="1" x14ac:dyDescent="0.3">
      <c r="B30" s="10" t="s">
        <v>450</v>
      </c>
      <c r="C30" s="10"/>
    </row>
    <row r="31" spans="2:3" ht="27.75" customHeight="1" x14ac:dyDescent="0.3">
      <c r="B31" s="25" t="s">
        <v>451</v>
      </c>
      <c r="C31" s="22" t="s">
        <v>452</v>
      </c>
    </row>
    <row r="32" spans="2:3" ht="27.75" customHeight="1" x14ac:dyDescent="0.3">
      <c r="B32" s="25" t="s">
        <v>453</v>
      </c>
      <c r="C32" s="22" t="s">
        <v>454</v>
      </c>
    </row>
    <row r="33" spans="2:3" ht="27.75" customHeight="1" x14ac:dyDescent="0.3">
      <c r="B33" s="25" t="s">
        <v>455</v>
      </c>
      <c r="C33" s="22" t="s">
        <v>456</v>
      </c>
    </row>
    <row r="34" spans="2:3" ht="27.75" customHeight="1" x14ac:dyDescent="0.3">
      <c r="B34" s="25" t="s">
        <v>457</v>
      </c>
      <c r="C34" s="22" t="s">
        <v>458</v>
      </c>
    </row>
    <row r="35" spans="2:3" ht="27.75" customHeight="1" x14ac:dyDescent="0.3">
      <c r="B35" s="25" t="s">
        <v>459</v>
      </c>
      <c r="C35" s="22" t="s">
        <v>460</v>
      </c>
    </row>
    <row r="36" spans="2:3" ht="27.75" customHeight="1" x14ac:dyDescent="0.3">
      <c r="B36" s="25" t="s">
        <v>461</v>
      </c>
      <c r="C36" s="22" t="s">
        <v>462</v>
      </c>
    </row>
    <row r="37" spans="2:3" ht="27.75" customHeight="1" x14ac:dyDescent="0.3">
      <c r="B37" s="25" t="s">
        <v>463</v>
      </c>
      <c r="C37" s="22" t="s">
        <v>464</v>
      </c>
    </row>
    <row r="38" spans="2:3" ht="27.75" customHeight="1" x14ac:dyDescent="0.3">
      <c r="B38" s="25" t="s">
        <v>465</v>
      </c>
      <c r="C38" s="22" t="s">
        <v>466</v>
      </c>
    </row>
    <row r="39" spans="2:3" ht="15" customHeight="1" x14ac:dyDescent="0.3">
      <c r="B39" s="10" t="s">
        <v>467</v>
      </c>
      <c r="C39" s="10"/>
    </row>
    <row r="40" spans="2:3" ht="27.75" customHeight="1" x14ac:dyDescent="0.3">
      <c r="B40" s="25" t="s">
        <v>468</v>
      </c>
      <c r="C40" s="22" t="s">
        <v>469</v>
      </c>
    </row>
    <row r="41" spans="2:3" ht="27.75" customHeight="1" x14ac:dyDescent="0.3">
      <c r="B41" s="25" t="s">
        <v>470</v>
      </c>
      <c r="C41" s="22" t="s">
        <v>471</v>
      </c>
    </row>
    <row r="42" spans="2:3" ht="27.75" customHeight="1" x14ac:dyDescent="0.3">
      <c r="B42" s="25" t="s">
        <v>472</v>
      </c>
      <c r="C42" s="22" t="s">
        <v>473</v>
      </c>
    </row>
    <row r="43" spans="2:3" ht="27.75" customHeight="1" x14ac:dyDescent="0.3">
      <c r="B43" s="25" t="s">
        <v>474</v>
      </c>
      <c r="C43" s="22" t="s">
        <v>475</v>
      </c>
    </row>
    <row r="44" spans="2:3" ht="27.75" customHeight="1" x14ac:dyDescent="0.3">
      <c r="B44" s="25" t="s">
        <v>476</v>
      </c>
      <c r="C44" s="22" t="s">
        <v>477</v>
      </c>
    </row>
    <row r="45" spans="2:3" ht="15" customHeight="1" x14ac:dyDescent="0.3">
      <c r="B45" s="10" t="s">
        <v>478</v>
      </c>
      <c r="C45" s="10"/>
    </row>
    <row r="46" spans="2:3" ht="27.75" customHeight="1" x14ac:dyDescent="0.3">
      <c r="B46" s="25" t="s">
        <v>479</v>
      </c>
      <c r="C46" s="22" t="s">
        <v>480</v>
      </c>
    </row>
    <row r="47" spans="2:3" ht="27.75" customHeight="1" x14ac:dyDescent="0.3">
      <c r="B47" s="25" t="s">
        <v>481</v>
      </c>
      <c r="C47" s="22" t="s">
        <v>482</v>
      </c>
    </row>
    <row r="48" spans="2:3" ht="27.75" customHeight="1" x14ac:dyDescent="0.3">
      <c r="B48" s="25" t="s">
        <v>483</v>
      </c>
      <c r="C48" s="22" t="s">
        <v>484</v>
      </c>
    </row>
    <row r="49" spans="2:3" ht="15.75" customHeight="1" x14ac:dyDescent="0.3">
      <c r="B49" s="25" t="s">
        <v>485</v>
      </c>
      <c r="C49" s="22" t="s">
        <v>486</v>
      </c>
    </row>
    <row r="51" spans="2:3" ht="15" customHeight="1" x14ac:dyDescent="0.3">
      <c r="B51" s="10" t="s">
        <v>487</v>
      </c>
      <c r="C51" s="10"/>
    </row>
    <row r="52" spans="2:3" ht="42" customHeight="1" x14ac:dyDescent="0.3">
      <c r="B52" s="25" t="s">
        <v>488</v>
      </c>
      <c r="C52" s="22" t="s">
        <v>489</v>
      </c>
    </row>
    <row r="53" spans="2:3" ht="27.75" customHeight="1" x14ac:dyDescent="0.3">
      <c r="B53" s="25" t="s">
        <v>490</v>
      </c>
      <c r="C53" s="22" t="s">
        <v>491</v>
      </c>
    </row>
    <row r="54" spans="2:3" ht="42" customHeight="1" x14ac:dyDescent="0.3">
      <c r="B54" s="25" t="s">
        <v>492</v>
      </c>
      <c r="C54" s="22" t="s">
        <v>493</v>
      </c>
    </row>
    <row r="55" spans="2:3" ht="27.75" customHeight="1" x14ac:dyDescent="0.3">
      <c r="B55" s="25" t="s">
        <v>494</v>
      </c>
      <c r="C55" s="22" t="s">
        <v>495</v>
      </c>
    </row>
    <row r="57" spans="2:3" ht="15" customHeight="1" x14ac:dyDescent="0.3">
      <c r="B57" s="10" t="s">
        <v>496</v>
      </c>
      <c r="C57" s="10"/>
    </row>
    <row r="58" spans="2:3" ht="42" customHeight="1" x14ac:dyDescent="0.3">
      <c r="B58" s="25" t="s">
        <v>497</v>
      </c>
      <c r="C58" s="22" t="s">
        <v>498</v>
      </c>
    </row>
    <row r="59" spans="2:3" ht="42" customHeight="1" x14ac:dyDescent="0.3">
      <c r="B59" s="25" t="s">
        <v>499</v>
      </c>
      <c r="C59" s="22" t="s">
        <v>500</v>
      </c>
    </row>
    <row r="60" spans="2:3" ht="42" customHeight="1" x14ac:dyDescent="0.3">
      <c r="B60" s="25" t="s">
        <v>501</v>
      </c>
      <c r="C60" s="22" t="s">
        <v>502</v>
      </c>
    </row>
    <row r="61" spans="2:3" ht="27.75" customHeight="1" x14ac:dyDescent="0.3">
      <c r="B61" s="25" t="s">
        <v>503</v>
      </c>
      <c r="C61" s="22" t="s">
        <v>504</v>
      </c>
    </row>
  </sheetData>
  <mergeCells count="8">
    <mergeCell ref="B45:C45"/>
    <mergeCell ref="B51:C51"/>
    <mergeCell ref="B57:C57"/>
    <mergeCell ref="B2:C2"/>
    <mergeCell ref="B4:C4"/>
    <mergeCell ref="B20:C20"/>
    <mergeCell ref="B30:C30"/>
    <mergeCell ref="B39:C3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35"/>
  <sheetViews>
    <sheetView zoomScaleNormal="100" workbookViewId="0"/>
  </sheetViews>
  <sheetFormatPr baseColWidth="10" defaultColWidth="8.6640625" defaultRowHeight="14.4" x14ac:dyDescent="0.3"/>
  <cols>
    <col min="1" max="1" width="3" customWidth="1"/>
    <col min="2" max="2" width="28" customWidth="1"/>
    <col min="3" max="3" width="125" customWidth="1"/>
  </cols>
  <sheetData>
    <row r="2" spans="2:3" ht="24" customHeight="1" x14ac:dyDescent="0.3">
      <c r="B2" s="14" t="s">
        <v>505</v>
      </c>
      <c r="C2" s="14"/>
    </row>
    <row r="3" spans="2:3" ht="15" customHeight="1" x14ac:dyDescent="0.3">
      <c r="B3" s="26" t="s">
        <v>506</v>
      </c>
    </row>
    <row r="5" spans="2:3" ht="15" customHeight="1" x14ac:dyDescent="0.3">
      <c r="B5" s="10" t="s">
        <v>507</v>
      </c>
      <c r="C5" s="10"/>
    </row>
    <row r="6" spans="2:3" ht="78" customHeight="1" x14ac:dyDescent="0.3">
      <c r="B6" s="25" t="s">
        <v>508</v>
      </c>
      <c r="C6" s="22" t="s">
        <v>509</v>
      </c>
    </row>
    <row r="7" spans="2:3" ht="51.75" customHeight="1" x14ac:dyDescent="0.3">
      <c r="B7" s="25" t="s">
        <v>510</v>
      </c>
      <c r="C7" s="22" t="s">
        <v>511</v>
      </c>
    </row>
    <row r="8" spans="2:3" ht="78" customHeight="1" x14ac:dyDescent="0.3">
      <c r="B8" s="25" t="s">
        <v>512</v>
      </c>
      <c r="C8" s="22" t="s">
        <v>513</v>
      </c>
    </row>
    <row r="9" spans="2:3" ht="51.75" customHeight="1" x14ac:dyDescent="0.3">
      <c r="B9" s="25" t="s">
        <v>514</v>
      </c>
      <c r="C9" s="22" t="s">
        <v>515</v>
      </c>
    </row>
    <row r="10" spans="2:3" ht="64.5" customHeight="1" x14ac:dyDescent="0.3">
      <c r="B10" s="25" t="s">
        <v>516</v>
      </c>
      <c r="C10" s="22" t="s">
        <v>517</v>
      </c>
    </row>
    <row r="11" spans="2:3" ht="15" customHeight="1" x14ac:dyDescent="0.3">
      <c r="B11" s="10" t="s">
        <v>518</v>
      </c>
      <c r="C11" s="10"/>
    </row>
    <row r="12" spans="2:3" ht="78" customHeight="1" x14ac:dyDescent="0.3">
      <c r="B12" s="25" t="s">
        <v>519</v>
      </c>
      <c r="C12" s="22" t="s">
        <v>520</v>
      </c>
    </row>
    <row r="13" spans="2:3" ht="39" customHeight="1" x14ac:dyDescent="0.3">
      <c r="B13" s="25" t="s">
        <v>521</v>
      </c>
      <c r="C13" s="22" t="s">
        <v>522</v>
      </c>
    </row>
    <row r="14" spans="2:3" ht="15" customHeight="1" x14ac:dyDescent="0.3">
      <c r="B14" s="10" t="s">
        <v>523</v>
      </c>
      <c r="C14" s="10"/>
    </row>
    <row r="15" spans="2:3" ht="51.75" customHeight="1" x14ac:dyDescent="0.3">
      <c r="B15" s="25" t="s">
        <v>524</v>
      </c>
      <c r="C15" s="22" t="s">
        <v>525</v>
      </c>
    </row>
    <row r="16" spans="2:3" ht="64.5" customHeight="1" x14ac:dyDescent="0.3">
      <c r="B16" s="25" t="s">
        <v>526</v>
      </c>
      <c r="C16" s="22" t="s">
        <v>527</v>
      </c>
    </row>
    <row r="17" spans="2:3" ht="51.75" customHeight="1" x14ac:dyDescent="0.3">
      <c r="B17" s="25" t="s">
        <v>528</v>
      </c>
      <c r="C17" s="22" t="s">
        <v>529</v>
      </c>
    </row>
    <row r="18" spans="2:3" ht="78" customHeight="1" x14ac:dyDescent="0.3">
      <c r="B18" s="25" t="s">
        <v>530</v>
      </c>
      <c r="C18" s="22" t="s">
        <v>531</v>
      </c>
    </row>
    <row r="19" spans="2:3" ht="15" customHeight="1" x14ac:dyDescent="0.3">
      <c r="B19" s="10" t="s">
        <v>532</v>
      </c>
      <c r="C19" s="10"/>
    </row>
    <row r="20" spans="2:3" ht="129.75" customHeight="1" x14ac:dyDescent="0.3">
      <c r="B20" s="25" t="s">
        <v>533</v>
      </c>
      <c r="C20" s="22" t="s">
        <v>534</v>
      </c>
    </row>
    <row r="21" spans="2:3" ht="103.5" customHeight="1" x14ac:dyDescent="0.3">
      <c r="B21" s="25" t="s">
        <v>535</v>
      </c>
      <c r="C21" s="22" t="s">
        <v>536</v>
      </c>
    </row>
    <row r="22" spans="2:3" ht="90.75" customHeight="1" x14ac:dyDescent="0.3">
      <c r="B22" s="25" t="s">
        <v>537</v>
      </c>
      <c r="C22" s="22" t="s">
        <v>538</v>
      </c>
    </row>
    <row r="23" spans="2:3" ht="15" customHeight="1" x14ac:dyDescent="0.3">
      <c r="B23" s="10" t="s">
        <v>539</v>
      </c>
      <c r="C23" s="10"/>
    </row>
    <row r="24" spans="2:3" ht="51.75" customHeight="1" x14ac:dyDescent="0.3">
      <c r="B24" s="25" t="s">
        <v>540</v>
      </c>
      <c r="C24" s="22" t="s">
        <v>541</v>
      </c>
    </row>
    <row r="25" spans="2:3" ht="90.75" customHeight="1" x14ac:dyDescent="0.3">
      <c r="B25" s="25" t="s">
        <v>542</v>
      </c>
      <c r="C25" s="22" t="s">
        <v>543</v>
      </c>
    </row>
    <row r="26" spans="2:3" ht="103.5" customHeight="1" x14ac:dyDescent="0.3">
      <c r="B26" s="25" t="s">
        <v>544</v>
      </c>
      <c r="C26" s="22" t="s">
        <v>545</v>
      </c>
    </row>
    <row r="28" spans="2:3" ht="15" customHeight="1" x14ac:dyDescent="0.3">
      <c r="B28" s="10" t="s">
        <v>546</v>
      </c>
      <c r="C28" s="10"/>
    </row>
    <row r="29" spans="2:3" ht="90.75" customHeight="1" x14ac:dyDescent="0.3">
      <c r="B29" s="25" t="s">
        <v>547</v>
      </c>
      <c r="C29" s="22" t="s">
        <v>548</v>
      </c>
    </row>
    <row r="30" spans="2:3" ht="90.75" customHeight="1" x14ac:dyDescent="0.3">
      <c r="B30" s="25" t="s">
        <v>549</v>
      </c>
      <c r="C30" s="22" t="s">
        <v>550</v>
      </c>
    </row>
    <row r="31" spans="2:3" ht="90.75" customHeight="1" x14ac:dyDescent="0.3">
      <c r="B31" s="25" t="s">
        <v>551</v>
      </c>
      <c r="C31" s="22" t="s">
        <v>552</v>
      </c>
    </row>
    <row r="33" spans="2:3" ht="15" customHeight="1" x14ac:dyDescent="0.3">
      <c r="B33" s="10" t="s">
        <v>553</v>
      </c>
      <c r="C33" s="10"/>
    </row>
    <row r="34" spans="2:3" ht="103.5" customHeight="1" x14ac:dyDescent="0.3">
      <c r="B34" s="25" t="s">
        <v>554</v>
      </c>
      <c r="C34" s="22" t="s">
        <v>555</v>
      </c>
    </row>
    <row r="35" spans="2:3" ht="90.75" customHeight="1" x14ac:dyDescent="0.3">
      <c r="B35" s="25" t="s">
        <v>556</v>
      </c>
      <c r="C35" s="22" t="s">
        <v>557</v>
      </c>
    </row>
  </sheetData>
  <mergeCells count="8">
    <mergeCell ref="B23:C23"/>
    <mergeCell ref="B28:C28"/>
    <mergeCell ref="B33:C33"/>
    <mergeCell ref="B2:C2"/>
    <mergeCell ref="B5:C5"/>
    <mergeCell ref="B11:C11"/>
    <mergeCell ref="B14:C14"/>
    <mergeCell ref="B19:C19"/>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36"/>
  <sheetViews>
    <sheetView zoomScaleNormal="100" workbookViewId="0"/>
  </sheetViews>
  <sheetFormatPr baseColWidth="10" defaultColWidth="8.6640625" defaultRowHeight="14.4" x14ac:dyDescent="0.3"/>
  <cols>
    <col min="1" max="1" width="3" customWidth="1"/>
    <col min="2" max="2" width="16" customWidth="1"/>
    <col min="3" max="3" width="26" customWidth="1"/>
    <col min="4" max="4" width="16" customWidth="1"/>
    <col min="5" max="5" width="8" customWidth="1"/>
    <col min="6" max="7" width="12" customWidth="1"/>
    <col min="8" max="9" width="13" customWidth="1"/>
    <col min="10" max="10" width="14" customWidth="1"/>
    <col min="11" max="11" width="15" customWidth="1"/>
    <col min="12" max="12" width="13" customWidth="1"/>
  </cols>
  <sheetData>
    <row r="2" spans="2:12" ht="24" customHeight="1" x14ac:dyDescent="0.3">
      <c r="B2" s="14" t="s">
        <v>558</v>
      </c>
      <c r="C2" s="14"/>
      <c r="D2" s="14"/>
      <c r="E2" s="14"/>
      <c r="F2" s="14"/>
      <c r="G2" s="14"/>
      <c r="H2" s="14"/>
      <c r="I2" s="14"/>
      <c r="J2" s="14"/>
      <c r="K2" s="14"/>
      <c r="L2" s="14"/>
    </row>
    <row r="3" spans="2:12" ht="30" customHeight="1" x14ac:dyDescent="0.3">
      <c r="B3" s="9" t="s">
        <v>559</v>
      </c>
      <c r="C3" s="9"/>
      <c r="D3" s="9"/>
      <c r="E3" s="9"/>
      <c r="F3" s="9"/>
      <c r="G3" s="9"/>
      <c r="H3" s="9"/>
      <c r="I3" s="9"/>
      <c r="J3" s="9"/>
      <c r="K3" s="9"/>
      <c r="L3" s="9"/>
    </row>
    <row r="5" spans="2:12" ht="39.75" customHeight="1" x14ac:dyDescent="0.3">
      <c r="B5" s="19" t="s">
        <v>560</v>
      </c>
      <c r="C5" s="19" t="s">
        <v>274</v>
      </c>
      <c r="D5" s="19" t="s">
        <v>561</v>
      </c>
      <c r="E5" s="19" t="s">
        <v>562</v>
      </c>
      <c r="F5" s="19" t="s">
        <v>563</v>
      </c>
      <c r="G5" s="19" t="s">
        <v>564</v>
      </c>
      <c r="H5" s="19" t="s">
        <v>565</v>
      </c>
      <c r="I5" s="19" t="s">
        <v>122</v>
      </c>
      <c r="J5" s="19" t="s">
        <v>566</v>
      </c>
      <c r="K5" s="19" t="s">
        <v>567</v>
      </c>
      <c r="L5" s="19" t="s">
        <v>568</v>
      </c>
    </row>
    <row r="6" spans="2:12" ht="15" customHeight="1" x14ac:dyDescent="0.3">
      <c r="B6" s="27" t="s">
        <v>569</v>
      </c>
      <c r="C6" s="37" t="s">
        <v>570</v>
      </c>
      <c r="D6" s="27" t="s">
        <v>571</v>
      </c>
      <c r="E6" s="29">
        <v>8</v>
      </c>
      <c r="F6" s="59">
        <v>8.9</v>
      </c>
      <c r="G6" s="29">
        <v>580</v>
      </c>
      <c r="H6" s="33">
        <f t="shared" ref="H6:H35" si="0">IF($B6="","",E6*F6)</f>
        <v>71.2</v>
      </c>
      <c r="I6" s="39">
        <f t="shared" ref="I6:I35" si="1">IF($B6="","",E6*G6)</f>
        <v>4640</v>
      </c>
      <c r="J6" s="60">
        <f>IF($B6="","",VLOOKUP(D6,'11_APU'!$B$7:$P$12,14,0))</f>
        <v>19.687499999999996</v>
      </c>
      <c r="K6" s="47">
        <f t="shared" ref="K6:K35" si="2">IF($B6="","",H6*J6)</f>
        <v>1401.7499999999998</v>
      </c>
      <c r="L6" s="47">
        <f t="shared" ref="L6:L35" si="3">IF(OR($B6="",I6=0),"",K6/I6)</f>
        <v>0.30210129310344824</v>
      </c>
    </row>
    <row r="7" spans="2:12" ht="15" customHeight="1" x14ac:dyDescent="0.3">
      <c r="B7" s="27" t="s">
        <v>572</v>
      </c>
      <c r="C7" s="37" t="s">
        <v>573</v>
      </c>
      <c r="D7" s="27" t="s">
        <v>571</v>
      </c>
      <c r="E7" s="29">
        <v>6</v>
      </c>
      <c r="F7" s="59">
        <v>10.5</v>
      </c>
      <c r="G7" s="29">
        <v>810</v>
      </c>
      <c r="H7" s="33">
        <f t="shared" si="0"/>
        <v>63</v>
      </c>
      <c r="I7" s="39">
        <f t="shared" si="1"/>
        <v>4860</v>
      </c>
      <c r="J7" s="60">
        <f>IF($B7="","",VLOOKUP(D7,'11_APU'!$B$7:$P$12,14,0))</f>
        <v>19.687499999999996</v>
      </c>
      <c r="K7" s="47">
        <f t="shared" si="2"/>
        <v>1240.3124999999998</v>
      </c>
      <c r="L7" s="47">
        <f t="shared" si="3"/>
        <v>0.25520833333333326</v>
      </c>
    </row>
    <row r="8" spans="2:12" ht="15" customHeight="1" x14ac:dyDescent="0.3">
      <c r="B8" s="27" t="s">
        <v>574</v>
      </c>
      <c r="C8" s="37" t="s">
        <v>575</v>
      </c>
      <c r="D8" s="27" t="s">
        <v>576</v>
      </c>
      <c r="E8" s="29">
        <v>24</v>
      </c>
      <c r="F8" s="59">
        <v>16.2</v>
      </c>
      <c r="G8" s="29">
        <v>1030</v>
      </c>
      <c r="H8" s="33">
        <f t="shared" si="0"/>
        <v>388.79999999999995</v>
      </c>
      <c r="I8" s="39">
        <f t="shared" si="1"/>
        <v>24720</v>
      </c>
      <c r="J8" s="60">
        <f>IF($B8="","",VLOOKUP(D8,'11_APU'!$B$7:$P$12,14,0))</f>
        <v>16.875</v>
      </c>
      <c r="K8" s="47">
        <f t="shared" si="2"/>
        <v>6560.9999999999991</v>
      </c>
      <c r="L8" s="47">
        <f t="shared" si="3"/>
        <v>0.26541262135922328</v>
      </c>
    </row>
    <row r="9" spans="2:12" ht="15" customHeight="1" x14ac:dyDescent="0.3">
      <c r="B9" s="27" t="s">
        <v>577</v>
      </c>
      <c r="C9" s="37" t="s">
        <v>578</v>
      </c>
      <c r="D9" s="27" t="s">
        <v>576</v>
      </c>
      <c r="E9" s="29">
        <v>30</v>
      </c>
      <c r="F9" s="59">
        <v>9.8000000000000007</v>
      </c>
      <c r="G9" s="29">
        <v>447</v>
      </c>
      <c r="H9" s="33">
        <f t="shared" si="0"/>
        <v>294</v>
      </c>
      <c r="I9" s="39">
        <f t="shared" si="1"/>
        <v>13410</v>
      </c>
      <c r="J9" s="60">
        <f>IF($B9="","",VLOOKUP(D9,'11_APU'!$B$7:$P$12,14,0))</f>
        <v>16.875</v>
      </c>
      <c r="K9" s="47">
        <f t="shared" si="2"/>
        <v>4961.25</v>
      </c>
      <c r="L9" s="47">
        <f t="shared" si="3"/>
        <v>0.36996644295302011</v>
      </c>
    </row>
    <row r="10" spans="2:12" ht="15" customHeight="1" x14ac:dyDescent="0.3">
      <c r="B10" s="27" t="s">
        <v>579</v>
      </c>
      <c r="C10" s="37" t="s">
        <v>580</v>
      </c>
      <c r="D10" s="27" t="s">
        <v>581</v>
      </c>
      <c r="E10" s="29">
        <v>10</v>
      </c>
      <c r="F10" s="59">
        <v>42</v>
      </c>
      <c r="G10" s="29">
        <v>1650</v>
      </c>
      <c r="H10" s="33">
        <f t="shared" si="0"/>
        <v>420</v>
      </c>
      <c r="I10" s="39">
        <f t="shared" si="1"/>
        <v>16500</v>
      </c>
      <c r="J10" s="60">
        <f>IF($B10="","",VLOOKUP(D10,'11_APU'!$B$7:$P$12,14,0))</f>
        <v>30.937500000000004</v>
      </c>
      <c r="K10" s="47">
        <f t="shared" si="2"/>
        <v>12993.750000000002</v>
      </c>
      <c r="L10" s="47">
        <f t="shared" si="3"/>
        <v>0.78750000000000009</v>
      </c>
    </row>
    <row r="11" spans="2:12" ht="15" customHeight="1" x14ac:dyDescent="0.3">
      <c r="B11" s="27" t="s">
        <v>582</v>
      </c>
      <c r="C11" s="37" t="s">
        <v>583</v>
      </c>
      <c r="D11" s="27" t="s">
        <v>584</v>
      </c>
      <c r="E11" s="29">
        <v>16</v>
      </c>
      <c r="F11" s="59">
        <v>3.1</v>
      </c>
      <c r="G11" s="29">
        <v>155</v>
      </c>
      <c r="H11" s="33">
        <f t="shared" si="0"/>
        <v>49.6</v>
      </c>
      <c r="I11" s="39">
        <f t="shared" si="1"/>
        <v>2480</v>
      </c>
      <c r="J11" s="60">
        <f>IF($B11="","",VLOOKUP(D11,'11_APU'!$B$7:$P$12,14,0))</f>
        <v>19.687499999999996</v>
      </c>
      <c r="K11" s="47">
        <f t="shared" si="2"/>
        <v>976.49999999999989</v>
      </c>
      <c r="L11" s="47">
        <f t="shared" si="3"/>
        <v>0.39374999999999993</v>
      </c>
    </row>
    <row r="12" spans="2:12" ht="15" customHeight="1" x14ac:dyDescent="0.3">
      <c r="B12" s="27" t="s">
        <v>585</v>
      </c>
      <c r="C12" s="37" t="s">
        <v>586</v>
      </c>
      <c r="D12" s="27" t="s">
        <v>587</v>
      </c>
      <c r="E12" s="29">
        <v>4</v>
      </c>
      <c r="F12" s="59">
        <v>12.4</v>
      </c>
      <c r="G12" s="29">
        <v>380</v>
      </c>
      <c r="H12" s="33">
        <f t="shared" si="0"/>
        <v>49.6</v>
      </c>
      <c r="I12" s="39">
        <f t="shared" si="1"/>
        <v>1520</v>
      </c>
      <c r="J12" s="60">
        <f>IF($B12="","",VLOOKUP(D12,'11_APU'!$B$7:$P$12,14,0))</f>
        <v>28.125</v>
      </c>
      <c r="K12" s="47">
        <f t="shared" si="2"/>
        <v>1395</v>
      </c>
      <c r="L12" s="47">
        <f t="shared" si="3"/>
        <v>0.91776315789473684</v>
      </c>
    </row>
    <row r="13" spans="2:12" ht="15" customHeight="1" x14ac:dyDescent="0.3">
      <c r="B13" s="27" t="s">
        <v>588</v>
      </c>
      <c r="C13" s="37" t="s">
        <v>589</v>
      </c>
      <c r="D13" s="27" t="s">
        <v>590</v>
      </c>
      <c r="E13" s="29">
        <v>14</v>
      </c>
      <c r="F13" s="59">
        <v>0.9</v>
      </c>
      <c r="G13" s="29">
        <v>118</v>
      </c>
      <c r="H13" s="33">
        <f t="shared" si="0"/>
        <v>12.6</v>
      </c>
      <c r="I13" s="39">
        <f t="shared" si="1"/>
        <v>1652</v>
      </c>
      <c r="J13" s="60">
        <f>IF($B13="","",VLOOKUP(D13,'11_APU'!$B$7:$P$12,14,0))</f>
        <v>11.25</v>
      </c>
      <c r="K13" s="47">
        <f t="shared" si="2"/>
        <v>141.75</v>
      </c>
      <c r="L13" s="47">
        <f t="shared" si="3"/>
        <v>8.5805084745762705E-2</v>
      </c>
    </row>
    <row r="14" spans="2:12" ht="15" customHeight="1" x14ac:dyDescent="0.3">
      <c r="B14" s="27"/>
      <c r="C14" s="27"/>
      <c r="D14" s="27"/>
      <c r="E14" s="27"/>
      <c r="F14" s="27"/>
      <c r="G14" s="27"/>
      <c r="H14" s="33" t="str">
        <f t="shared" si="0"/>
        <v/>
      </c>
      <c r="I14" s="39" t="str">
        <f t="shared" si="1"/>
        <v/>
      </c>
      <c r="J14" s="60" t="str">
        <f>IF($B14="","",VLOOKUP(D14,'11_APU'!$B$7:$P$12,14,0))</f>
        <v/>
      </c>
      <c r="K14" s="47" t="str">
        <f t="shared" si="2"/>
        <v/>
      </c>
      <c r="L14" s="47" t="str">
        <f t="shared" si="3"/>
        <v/>
      </c>
    </row>
    <row r="15" spans="2:12" ht="15" customHeight="1" x14ac:dyDescent="0.3">
      <c r="B15" s="27"/>
      <c r="C15" s="27"/>
      <c r="D15" s="27"/>
      <c r="E15" s="27"/>
      <c r="F15" s="27"/>
      <c r="G15" s="27"/>
      <c r="H15" s="33" t="str">
        <f t="shared" si="0"/>
        <v/>
      </c>
      <c r="I15" s="39" t="str">
        <f t="shared" si="1"/>
        <v/>
      </c>
      <c r="J15" s="60" t="str">
        <f>IF($B15="","",VLOOKUP(D15,'11_APU'!$B$7:$P$12,14,0))</f>
        <v/>
      </c>
      <c r="K15" s="47" t="str">
        <f t="shared" si="2"/>
        <v/>
      </c>
      <c r="L15" s="47" t="str">
        <f t="shared" si="3"/>
        <v/>
      </c>
    </row>
    <row r="16" spans="2:12" ht="15" customHeight="1" x14ac:dyDescent="0.3">
      <c r="B16" s="27"/>
      <c r="C16" s="27"/>
      <c r="D16" s="27"/>
      <c r="E16" s="27"/>
      <c r="F16" s="27"/>
      <c r="G16" s="27"/>
      <c r="H16" s="33" t="str">
        <f t="shared" si="0"/>
        <v/>
      </c>
      <c r="I16" s="39" t="str">
        <f t="shared" si="1"/>
        <v/>
      </c>
      <c r="J16" s="60" t="str">
        <f>IF($B16="","",VLOOKUP(D16,'11_APU'!$B$7:$P$12,14,0))</f>
        <v/>
      </c>
      <c r="K16" s="47" t="str">
        <f t="shared" si="2"/>
        <v/>
      </c>
      <c r="L16" s="47" t="str">
        <f t="shared" si="3"/>
        <v/>
      </c>
    </row>
    <row r="17" spans="2:12" ht="15" customHeight="1" x14ac:dyDescent="0.3">
      <c r="B17" s="27"/>
      <c r="C17" s="27"/>
      <c r="D17" s="27"/>
      <c r="E17" s="27"/>
      <c r="F17" s="27"/>
      <c r="G17" s="27"/>
      <c r="H17" s="33" t="str">
        <f t="shared" si="0"/>
        <v/>
      </c>
      <c r="I17" s="39" t="str">
        <f t="shared" si="1"/>
        <v/>
      </c>
      <c r="J17" s="60" t="str">
        <f>IF($B17="","",VLOOKUP(D17,'11_APU'!$B$7:$P$12,14,0))</f>
        <v/>
      </c>
      <c r="K17" s="47" t="str">
        <f t="shared" si="2"/>
        <v/>
      </c>
      <c r="L17" s="47" t="str">
        <f t="shared" si="3"/>
        <v/>
      </c>
    </row>
    <row r="18" spans="2:12" ht="15" customHeight="1" x14ac:dyDescent="0.3">
      <c r="B18" s="27"/>
      <c r="C18" s="27"/>
      <c r="D18" s="27"/>
      <c r="E18" s="27"/>
      <c r="F18" s="27"/>
      <c r="G18" s="27"/>
      <c r="H18" s="33" t="str">
        <f t="shared" si="0"/>
        <v/>
      </c>
      <c r="I18" s="39" t="str">
        <f t="shared" si="1"/>
        <v/>
      </c>
      <c r="J18" s="60" t="str">
        <f>IF($B18="","",VLOOKUP(D18,'11_APU'!$B$7:$P$12,14,0))</f>
        <v/>
      </c>
      <c r="K18" s="47" t="str">
        <f t="shared" si="2"/>
        <v/>
      </c>
      <c r="L18" s="47" t="str">
        <f t="shared" si="3"/>
        <v/>
      </c>
    </row>
    <row r="19" spans="2:12" ht="15" customHeight="1" x14ac:dyDescent="0.3">
      <c r="B19" s="27"/>
      <c r="C19" s="27"/>
      <c r="D19" s="27"/>
      <c r="E19" s="27"/>
      <c r="F19" s="27"/>
      <c r="G19" s="27"/>
      <c r="H19" s="33" t="str">
        <f t="shared" si="0"/>
        <v/>
      </c>
      <c r="I19" s="39" t="str">
        <f t="shared" si="1"/>
        <v/>
      </c>
      <c r="J19" s="60" t="str">
        <f>IF($B19="","",VLOOKUP(D19,'11_APU'!$B$7:$P$12,14,0))</f>
        <v/>
      </c>
      <c r="K19" s="47" t="str">
        <f t="shared" si="2"/>
        <v/>
      </c>
      <c r="L19" s="47" t="str">
        <f t="shared" si="3"/>
        <v/>
      </c>
    </row>
    <row r="20" spans="2:12" ht="15" customHeight="1" x14ac:dyDescent="0.3">
      <c r="B20" s="27"/>
      <c r="C20" s="27"/>
      <c r="D20" s="27"/>
      <c r="E20" s="27"/>
      <c r="F20" s="27"/>
      <c r="G20" s="27"/>
      <c r="H20" s="33" t="str">
        <f t="shared" si="0"/>
        <v/>
      </c>
      <c r="I20" s="39" t="str">
        <f t="shared" si="1"/>
        <v/>
      </c>
      <c r="J20" s="60" t="str">
        <f>IF($B20="","",VLOOKUP(D20,'11_APU'!$B$7:$P$12,14,0))</f>
        <v/>
      </c>
      <c r="K20" s="47" t="str">
        <f t="shared" si="2"/>
        <v/>
      </c>
      <c r="L20" s="47" t="str">
        <f t="shared" si="3"/>
        <v/>
      </c>
    </row>
    <row r="21" spans="2:12" ht="15" customHeight="1" x14ac:dyDescent="0.3">
      <c r="B21" s="27"/>
      <c r="C21" s="27"/>
      <c r="D21" s="27"/>
      <c r="E21" s="27"/>
      <c r="F21" s="27"/>
      <c r="G21" s="27"/>
      <c r="H21" s="33" t="str">
        <f t="shared" si="0"/>
        <v/>
      </c>
      <c r="I21" s="39" t="str">
        <f t="shared" si="1"/>
        <v/>
      </c>
      <c r="J21" s="60" t="str">
        <f>IF($B21="","",VLOOKUP(D21,'11_APU'!$B$7:$P$12,14,0))</f>
        <v/>
      </c>
      <c r="K21" s="47" t="str">
        <f t="shared" si="2"/>
        <v/>
      </c>
      <c r="L21" s="47" t="str">
        <f t="shared" si="3"/>
        <v/>
      </c>
    </row>
    <row r="22" spans="2:12" ht="15" customHeight="1" x14ac:dyDescent="0.3">
      <c r="B22" s="27"/>
      <c r="C22" s="27"/>
      <c r="D22" s="27"/>
      <c r="E22" s="27"/>
      <c r="F22" s="27"/>
      <c r="G22" s="27"/>
      <c r="H22" s="33" t="str">
        <f t="shared" si="0"/>
        <v/>
      </c>
      <c r="I22" s="39" t="str">
        <f t="shared" si="1"/>
        <v/>
      </c>
      <c r="J22" s="60" t="str">
        <f>IF($B22="","",VLOOKUP(D22,'11_APU'!$B$7:$P$12,14,0))</f>
        <v/>
      </c>
      <c r="K22" s="47" t="str">
        <f t="shared" si="2"/>
        <v/>
      </c>
      <c r="L22" s="47" t="str">
        <f t="shared" si="3"/>
        <v/>
      </c>
    </row>
    <row r="23" spans="2:12" ht="15" customHeight="1" x14ac:dyDescent="0.3">
      <c r="B23" s="27"/>
      <c r="C23" s="27"/>
      <c r="D23" s="27"/>
      <c r="E23" s="27"/>
      <c r="F23" s="27"/>
      <c r="G23" s="27"/>
      <c r="H23" s="33" t="str">
        <f t="shared" si="0"/>
        <v/>
      </c>
      <c r="I23" s="39" t="str">
        <f t="shared" si="1"/>
        <v/>
      </c>
      <c r="J23" s="60" t="str">
        <f>IF($B23="","",VLOOKUP(D23,'11_APU'!$B$7:$P$12,14,0))</f>
        <v/>
      </c>
      <c r="K23" s="47" t="str">
        <f t="shared" si="2"/>
        <v/>
      </c>
      <c r="L23" s="47" t="str">
        <f t="shared" si="3"/>
        <v/>
      </c>
    </row>
    <row r="24" spans="2:12" ht="15" customHeight="1" x14ac:dyDescent="0.3">
      <c r="B24" s="27"/>
      <c r="C24" s="27"/>
      <c r="D24" s="27"/>
      <c r="E24" s="27"/>
      <c r="F24" s="27"/>
      <c r="G24" s="27"/>
      <c r="H24" s="33" t="str">
        <f t="shared" si="0"/>
        <v/>
      </c>
      <c r="I24" s="39" t="str">
        <f t="shared" si="1"/>
        <v/>
      </c>
      <c r="J24" s="60" t="str">
        <f>IF($B24="","",VLOOKUP(D24,'11_APU'!$B$7:$P$12,14,0))</f>
        <v/>
      </c>
      <c r="K24" s="47" t="str">
        <f t="shared" si="2"/>
        <v/>
      </c>
      <c r="L24" s="47" t="str">
        <f t="shared" si="3"/>
        <v/>
      </c>
    </row>
    <row r="25" spans="2:12" ht="15" customHeight="1" x14ac:dyDescent="0.3">
      <c r="B25" s="27"/>
      <c r="C25" s="27"/>
      <c r="D25" s="27"/>
      <c r="E25" s="27"/>
      <c r="F25" s="27"/>
      <c r="G25" s="27"/>
      <c r="H25" s="33" t="str">
        <f t="shared" si="0"/>
        <v/>
      </c>
      <c r="I25" s="39" t="str">
        <f t="shared" si="1"/>
        <v/>
      </c>
      <c r="J25" s="60" t="str">
        <f>IF($B25="","",VLOOKUP(D25,'11_APU'!$B$7:$P$12,14,0))</f>
        <v/>
      </c>
      <c r="K25" s="47" t="str">
        <f t="shared" si="2"/>
        <v/>
      </c>
      <c r="L25" s="47" t="str">
        <f t="shared" si="3"/>
        <v/>
      </c>
    </row>
    <row r="26" spans="2:12" ht="15" customHeight="1" x14ac:dyDescent="0.3">
      <c r="B26" s="27"/>
      <c r="C26" s="27"/>
      <c r="D26" s="27"/>
      <c r="E26" s="27"/>
      <c r="F26" s="27"/>
      <c r="G26" s="27"/>
      <c r="H26" s="33" t="str">
        <f t="shared" si="0"/>
        <v/>
      </c>
      <c r="I26" s="39" t="str">
        <f t="shared" si="1"/>
        <v/>
      </c>
      <c r="J26" s="60" t="str">
        <f>IF($B26="","",VLOOKUP(D26,'11_APU'!$B$7:$P$12,14,0))</f>
        <v/>
      </c>
      <c r="K26" s="47" t="str">
        <f t="shared" si="2"/>
        <v/>
      </c>
      <c r="L26" s="47" t="str">
        <f t="shared" si="3"/>
        <v/>
      </c>
    </row>
    <row r="27" spans="2:12" ht="15" customHeight="1" x14ac:dyDescent="0.3">
      <c r="B27" s="27"/>
      <c r="C27" s="27"/>
      <c r="D27" s="27"/>
      <c r="E27" s="27"/>
      <c r="F27" s="27"/>
      <c r="G27" s="27"/>
      <c r="H27" s="33" t="str">
        <f t="shared" si="0"/>
        <v/>
      </c>
      <c r="I27" s="39" t="str">
        <f t="shared" si="1"/>
        <v/>
      </c>
      <c r="J27" s="60" t="str">
        <f>IF($B27="","",VLOOKUP(D27,'11_APU'!$B$7:$P$12,14,0))</f>
        <v/>
      </c>
      <c r="K27" s="47" t="str">
        <f t="shared" si="2"/>
        <v/>
      </c>
      <c r="L27" s="47" t="str">
        <f t="shared" si="3"/>
        <v/>
      </c>
    </row>
    <row r="28" spans="2:12" ht="15" customHeight="1" x14ac:dyDescent="0.3">
      <c r="B28" s="27"/>
      <c r="C28" s="27"/>
      <c r="D28" s="27"/>
      <c r="E28" s="27"/>
      <c r="F28" s="27"/>
      <c r="G28" s="27"/>
      <c r="H28" s="33" t="str">
        <f t="shared" si="0"/>
        <v/>
      </c>
      <c r="I28" s="39" t="str">
        <f t="shared" si="1"/>
        <v/>
      </c>
      <c r="J28" s="60" t="str">
        <f>IF($B28="","",VLOOKUP(D28,'11_APU'!$B$7:$P$12,14,0))</f>
        <v/>
      </c>
      <c r="K28" s="47" t="str">
        <f t="shared" si="2"/>
        <v/>
      </c>
      <c r="L28" s="47" t="str">
        <f t="shared" si="3"/>
        <v/>
      </c>
    </row>
    <row r="29" spans="2:12" ht="15" customHeight="1" x14ac:dyDescent="0.3">
      <c r="B29" s="27"/>
      <c r="C29" s="27"/>
      <c r="D29" s="27"/>
      <c r="E29" s="27"/>
      <c r="F29" s="27"/>
      <c r="G29" s="27"/>
      <c r="H29" s="33" t="str">
        <f t="shared" si="0"/>
        <v/>
      </c>
      <c r="I29" s="39" t="str">
        <f t="shared" si="1"/>
        <v/>
      </c>
      <c r="J29" s="60" t="str">
        <f>IF($B29="","",VLOOKUP(D29,'11_APU'!$B$7:$P$12,14,0))</f>
        <v/>
      </c>
      <c r="K29" s="47" t="str">
        <f t="shared" si="2"/>
        <v/>
      </c>
      <c r="L29" s="47" t="str">
        <f t="shared" si="3"/>
        <v/>
      </c>
    </row>
    <row r="30" spans="2:12" ht="15" customHeight="1" x14ac:dyDescent="0.3">
      <c r="B30" s="27"/>
      <c r="C30" s="27"/>
      <c r="D30" s="27"/>
      <c r="E30" s="27"/>
      <c r="F30" s="27"/>
      <c r="G30" s="27"/>
      <c r="H30" s="33" t="str">
        <f t="shared" si="0"/>
        <v/>
      </c>
      <c r="I30" s="39" t="str">
        <f t="shared" si="1"/>
        <v/>
      </c>
      <c r="J30" s="60" t="str">
        <f>IF($B30="","",VLOOKUP(D30,'11_APU'!$B$7:$P$12,14,0))</f>
        <v/>
      </c>
      <c r="K30" s="47" t="str">
        <f t="shared" si="2"/>
        <v/>
      </c>
      <c r="L30" s="47" t="str">
        <f t="shared" si="3"/>
        <v/>
      </c>
    </row>
    <row r="31" spans="2:12" ht="15" customHeight="1" x14ac:dyDescent="0.3">
      <c r="B31" s="27"/>
      <c r="C31" s="27"/>
      <c r="D31" s="27"/>
      <c r="E31" s="27"/>
      <c r="F31" s="27"/>
      <c r="G31" s="27"/>
      <c r="H31" s="33" t="str">
        <f t="shared" si="0"/>
        <v/>
      </c>
      <c r="I31" s="39" t="str">
        <f t="shared" si="1"/>
        <v/>
      </c>
      <c r="J31" s="60" t="str">
        <f>IF($B31="","",VLOOKUP(D31,'11_APU'!$B$7:$P$12,14,0))</f>
        <v/>
      </c>
      <c r="K31" s="47" t="str">
        <f t="shared" si="2"/>
        <v/>
      </c>
      <c r="L31" s="47" t="str">
        <f t="shared" si="3"/>
        <v/>
      </c>
    </row>
    <row r="32" spans="2:12" ht="15" customHeight="1" x14ac:dyDescent="0.3">
      <c r="B32" s="27"/>
      <c r="C32" s="27"/>
      <c r="D32" s="27"/>
      <c r="E32" s="27"/>
      <c r="F32" s="27"/>
      <c r="G32" s="27"/>
      <c r="H32" s="33" t="str">
        <f t="shared" si="0"/>
        <v/>
      </c>
      <c r="I32" s="39" t="str">
        <f t="shared" si="1"/>
        <v/>
      </c>
      <c r="J32" s="60" t="str">
        <f>IF($B32="","",VLOOKUP(D32,'11_APU'!$B$7:$P$12,14,0))</f>
        <v/>
      </c>
      <c r="K32" s="47" t="str">
        <f t="shared" si="2"/>
        <v/>
      </c>
      <c r="L32" s="47" t="str">
        <f t="shared" si="3"/>
        <v/>
      </c>
    </row>
    <row r="33" spans="2:12" ht="15" customHeight="1" x14ac:dyDescent="0.3">
      <c r="B33" s="27"/>
      <c r="C33" s="27"/>
      <c r="D33" s="27"/>
      <c r="E33" s="27"/>
      <c r="F33" s="27"/>
      <c r="G33" s="27"/>
      <c r="H33" s="33" t="str">
        <f t="shared" si="0"/>
        <v/>
      </c>
      <c r="I33" s="39" t="str">
        <f t="shared" si="1"/>
        <v/>
      </c>
      <c r="J33" s="60" t="str">
        <f>IF($B33="","",VLOOKUP(D33,'11_APU'!$B$7:$P$12,14,0))</f>
        <v/>
      </c>
      <c r="K33" s="47" t="str">
        <f t="shared" si="2"/>
        <v/>
      </c>
      <c r="L33" s="47" t="str">
        <f t="shared" si="3"/>
        <v/>
      </c>
    </row>
    <row r="34" spans="2:12" ht="15" customHeight="1" x14ac:dyDescent="0.3">
      <c r="B34" s="27"/>
      <c r="C34" s="27"/>
      <c r="D34" s="27"/>
      <c r="E34" s="27"/>
      <c r="F34" s="27"/>
      <c r="G34" s="27"/>
      <c r="H34" s="33" t="str">
        <f t="shared" si="0"/>
        <v/>
      </c>
      <c r="I34" s="39" t="str">
        <f t="shared" si="1"/>
        <v/>
      </c>
      <c r="J34" s="60" t="str">
        <f>IF($B34="","",VLOOKUP(D34,'11_APU'!$B$7:$P$12,14,0))</f>
        <v/>
      </c>
      <c r="K34" s="47" t="str">
        <f t="shared" si="2"/>
        <v/>
      </c>
      <c r="L34" s="47" t="str">
        <f t="shared" si="3"/>
        <v/>
      </c>
    </row>
    <row r="35" spans="2:12" ht="15" customHeight="1" x14ac:dyDescent="0.3">
      <c r="B35" s="27"/>
      <c r="C35" s="27"/>
      <c r="D35" s="27"/>
      <c r="E35" s="27"/>
      <c r="F35" s="27"/>
      <c r="G35" s="27"/>
      <c r="H35" s="33" t="str">
        <f t="shared" si="0"/>
        <v/>
      </c>
      <c r="I35" s="39" t="str">
        <f t="shared" si="1"/>
        <v/>
      </c>
      <c r="J35" s="60" t="str">
        <f>IF($B35="","",VLOOKUP(D35,'11_APU'!$B$7:$P$12,14,0))</f>
        <v/>
      </c>
      <c r="K35" s="47" t="str">
        <f t="shared" si="2"/>
        <v/>
      </c>
      <c r="L35" s="47" t="str">
        <f t="shared" si="3"/>
        <v/>
      </c>
    </row>
    <row r="36" spans="2:12" ht="15" customHeight="1" x14ac:dyDescent="0.3">
      <c r="C36" s="43" t="s">
        <v>298</v>
      </c>
      <c r="H36" s="44">
        <f>SUM(H6:H35)</f>
        <v>1348.7999999999997</v>
      </c>
      <c r="I36" s="48">
        <f>SUM(I6:I35)</f>
        <v>69782</v>
      </c>
      <c r="K36" s="49">
        <f>SUM(K6:K35)</f>
        <v>29671.3125</v>
      </c>
      <c r="L36" s="49">
        <f>IF(I36=0,"",K36/I36)</f>
        <v>0.42520008741509274</v>
      </c>
    </row>
  </sheetData>
  <mergeCells count="2">
    <mergeCell ref="B2:L2"/>
    <mergeCell ref="B3:L3"/>
  </mergeCells>
  <dataValidations count="1">
    <dataValidation type="list" allowBlank="1" sqref="D6:D35" xr:uid="{00000000-0002-0000-0B00-000000000000}">
      <formula1>"COLUMNA,VIGA,CELOSIA,CONTRAVENTEO,MISCELANEO,PLACA"</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Q14"/>
  <sheetViews>
    <sheetView zoomScaleNormal="100" workbookViewId="0"/>
  </sheetViews>
  <sheetFormatPr baseColWidth="10" defaultColWidth="8.6640625" defaultRowHeight="14.4" x14ac:dyDescent="0.3"/>
  <cols>
    <col min="1" max="1" width="3" customWidth="1"/>
    <col min="2" max="2" width="16" customWidth="1"/>
    <col min="3" max="3" width="10" customWidth="1"/>
    <col min="4" max="5" width="12" customWidth="1"/>
    <col min="6" max="6" width="13" customWidth="1"/>
    <col min="7" max="7" width="12" customWidth="1"/>
    <col min="8" max="11" width="11" customWidth="1"/>
    <col min="12" max="12" width="13" customWidth="1"/>
    <col min="13" max="13" width="10" customWidth="1"/>
    <col min="14" max="15" width="12" customWidth="1"/>
    <col min="16" max="16" width="14" customWidth="1"/>
    <col min="17" max="17" width="16" customWidth="1"/>
  </cols>
  <sheetData>
    <row r="2" spans="2:17" ht="24" customHeight="1" x14ac:dyDescent="0.3">
      <c r="B2" s="14" t="s">
        <v>591</v>
      </c>
      <c r="C2" s="14"/>
      <c r="D2" s="14"/>
      <c r="E2" s="14"/>
      <c r="F2" s="14"/>
      <c r="G2" s="14"/>
      <c r="H2" s="14"/>
      <c r="I2" s="14"/>
      <c r="J2" s="14"/>
      <c r="K2" s="14"/>
      <c r="L2" s="14"/>
      <c r="M2" s="14"/>
      <c r="N2" s="14"/>
      <c r="O2" s="14"/>
      <c r="P2" s="14"/>
      <c r="Q2" s="14"/>
    </row>
    <row r="3" spans="2:17" ht="30" customHeight="1" x14ac:dyDescent="0.3">
      <c r="B3" s="9" t="s">
        <v>592</v>
      </c>
      <c r="C3" s="9"/>
      <c r="D3" s="9"/>
      <c r="E3" s="9"/>
      <c r="F3" s="9"/>
      <c r="G3" s="9"/>
      <c r="H3" s="9"/>
      <c r="I3" s="9"/>
      <c r="J3" s="9"/>
      <c r="K3" s="9"/>
      <c r="L3" s="9"/>
      <c r="M3" s="9"/>
      <c r="N3" s="9"/>
      <c r="O3" s="9"/>
      <c r="P3" s="9"/>
      <c r="Q3" s="9"/>
    </row>
    <row r="5" spans="2:17" ht="15" customHeight="1" x14ac:dyDescent="0.3">
      <c r="B5" s="75" t="s">
        <v>593</v>
      </c>
      <c r="C5" s="75"/>
      <c r="D5" s="75"/>
      <c r="E5" s="75"/>
      <c r="F5" s="60">
        <f>IF('10_PIEZAS'!H36=0,"",'5_RESUMEN'!L14/'10_PIEZAS'!H36)</f>
        <v>0</v>
      </c>
      <c r="G5" s="26" t="s">
        <v>594</v>
      </c>
      <c r="H5" s="60">
        <f>IF('10_PIEZAS'!H36=0,"",'7_ABRASIVO'!N29/'10_PIEZAS'!H36)</f>
        <v>0</v>
      </c>
      <c r="I5" s="76" t="s">
        <v>595</v>
      </c>
      <c r="J5" s="76"/>
      <c r="K5" s="76"/>
      <c r="L5" s="76" t="s">
        <v>596</v>
      </c>
      <c r="M5" s="76"/>
      <c r="N5" s="76"/>
      <c r="O5" s="76"/>
      <c r="P5" s="76"/>
      <c r="Q5" s="76"/>
    </row>
    <row r="6" spans="2:17" ht="42" customHeight="1" x14ac:dyDescent="0.3">
      <c r="B6" s="19" t="s">
        <v>561</v>
      </c>
      <c r="C6" s="19" t="s">
        <v>597</v>
      </c>
      <c r="D6" s="19" t="s">
        <v>275</v>
      </c>
      <c r="E6" s="19" t="s">
        <v>598</v>
      </c>
      <c r="F6" s="19" t="s">
        <v>599</v>
      </c>
      <c r="G6" s="19" t="s">
        <v>600</v>
      </c>
      <c r="H6" s="19" t="s">
        <v>601</v>
      </c>
      <c r="I6" s="19" t="s">
        <v>602</v>
      </c>
      <c r="J6" s="19" t="s">
        <v>603</v>
      </c>
      <c r="K6" s="19" t="s">
        <v>604</v>
      </c>
      <c r="L6" s="19" t="s">
        <v>605</v>
      </c>
      <c r="M6" s="19" t="s">
        <v>606</v>
      </c>
      <c r="N6" s="19" t="s">
        <v>607</v>
      </c>
      <c r="O6" s="19" t="s">
        <v>608</v>
      </c>
      <c r="P6" s="19" t="s">
        <v>609</v>
      </c>
      <c r="Q6" s="19" t="s">
        <v>610</v>
      </c>
    </row>
    <row r="7" spans="2:17" ht="15" customHeight="1" x14ac:dyDescent="0.3">
      <c r="B7" s="34" t="s">
        <v>571</v>
      </c>
      <c r="C7" s="27" t="s">
        <v>611</v>
      </c>
      <c r="D7" s="33">
        <f>SUMIF('10_PIEZAS'!$D$6:$D$35,$B7,'10_PIEZAS'!$H$6:$H$35)</f>
        <v>134.19999999999999</v>
      </c>
      <c r="E7" s="39">
        <f>SUMIF('10_PIEZAS'!$D$6:$D$35,$B7,'10_PIEZAS'!$I$6:$I$35)</f>
        <v>9500</v>
      </c>
      <c r="F7" s="33">
        <f t="shared" ref="F7:F12" si="0">IF(D7=0,"",E7/D7)</f>
        <v>70.789865871833086</v>
      </c>
      <c r="G7" s="61">
        <v>0</v>
      </c>
      <c r="H7" s="61">
        <v>0</v>
      </c>
      <c r="I7" s="58">
        <v>0.35</v>
      </c>
      <c r="J7" s="31">
        <v>45</v>
      </c>
      <c r="K7" s="47">
        <f t="shared" ref="K7:K12" si="1">I7*J7</f>
        <v>15.749999999999998</v>
      </c>
      <c r="L7" s="31">
        <v>0</v>
      </c>
      <c r="M7" s="47">
        <f t="shared" ref="M7:M12" si="2">G7+H7+K7+L7</f>
        <v>15.749999999999998</v>
      </c>
      <c r="N7" s="28">
        <v>0.25</v>
      </c>
      <c r="O7" s="47">
        <f t="shared" ref="O7:O12" si="3">M7*(1+N7)</f>
        <v>19.687499999999996</v>
      </c>
      <c r="P7" s="47">
        <f t="shared" ref="P7:P12" si="4">IF(OR(F7="",F7=0),"",O7/F7)</f>
        <v>0.27811184210526313</v>
      </c>
      <c r="Q7" s="47">
        <f t="shared" ref="Q7:Q12" si="5">IF(C7="kg",IF(P7="","",P7),O7)</f>
        <v>19.687499999999996</v>
      </c>
    </row>
    <row r="8" spans="2:17" ht="15" customHeight="1" x14ac:dyDescent="0.3">
      <c r="B8" s="34" t="s">
        <v>576</v>
      </c>
      <c r="C8" s="27" t="s">
        <v>611</v>
      </c>
      <c r="D8" s="33">
        <f>SUMIF('10_PIEZAS'!$D$6:$D$35,$B8,'10_PIEZAS'!$H$6:$H$35)</f>
        <v>682.8</v>
      </c>
      <c r="E8" s="39">
        <f>SUMIF('10_PIEZAS'!$D$6:$D$35,$B8,'10_PIEZAS'!$I$6:$I$35)</f>
        <v>38130</v>
      </c>
      <c r="F8" s="33">
        <f t="shared" si="0"/>
        <v>55.843585237258353</v>
      </c>
      <c r="G8" s="61">
        <v>0</v>
      </c>
      <c r="H8" s="61">
        <v>0</v>
      </c>
      <c r="I8" s="58">
        <v>0.3</v>
      </c>
      <c r="J8" s="31">
        <v>45</v>
      </c>
      <c r="K8" s="47">
        <f t="shared" si="1"/>
        <v>13.5</v>
      </c>
      <c r="L8" s="31">
        <v>0</v>
      </c>
      <c r="M8" s="47">
        <f t="shared" si="2"/>
        <v>13.5</v>
      </c>
      <c r="N8" s="28">
        <v>0.25</v>
      </c>
      <c r="O8" s="47">
        <f t="shared" si="3"/>
        <v>16.875</v>
      </c>
      <c r="P8" s="47">
        <f t="shared" si="4"/>
        <v>0.30218332022029898</v>
      </c>
      <c r="Q8" s="47">
        <f t="shared" si="5"/>
        <v>16.875</v>
      </c>
    </row>
    <row r="9" spans="2:17" ht="15" customHeight="1" x14ac:dyDescent="0.3">
      <c r="B9" s="34" t="s">
        <v>581</v>
      </c>
      <c r="C9" s="27" t="s">
        <v>611</v>
      </c>
      <c r="D9" s="33">
        <f>SUMIF('10_PIEZAS'!$D$6:$D$35,$B9,'10_PIEZAS'!$H$6:$H$35)</f>
        <v>420</v>
      </c>
      <c r="E9" s="39">
        <f>SUMIF('10_PIEZAS'!$D$6:$D$35,$B9,'10_PIEZAS'!$I$6:$I$35)</f>
        <v>16500</v>
      </c>
      <c r="F9" s="33">
        <f t="shared" si="0"/>
        <v>39.285714285714285</v>
      </c>
      <c r="G9" s="61">
        <v>0</v>
      </c>
      <c r="H9" s="61">
        <v>0</v>
      </c>
      <c r="I9" s="58">
        <v>0.55000000000000004</v>
      </c>
      <c r="J9" s="31">
        <v>45</v>
      </c>
      <c r="K9" s="47">
        <f t="shared" si="1"/>
        <v>24.750000000000004</v>
      </c>
      <c r="L9" s="31">
        <v>0</v>
      </c>
      <c r="M9" s="47">
        <f t="shared" si="2"/>
        <v>24.750000000000004</v>
      </c>
      <c r="N9" s="28">
        <v>0.25</v>
      </c>
      <c r="O9" s="47">
        <f t="shared" si="3"/>
        <v>30.937500000000004</v>
      </c>
      <c r="P9" s="47">
        <f t="shared" si="4"/>
        <v>0.78750000000000009</v>
      </c>
      <c r="Q9" s="47">
        <f t="shared" si="5"/>
        <v>30.937500000000004</v>
      </c>
    </row>
    <row r="10" spans="2:17" ht="15" customHeight="1" x14ac:dyDescent="0.3">
      <c r="B10" s="34" t="s">
        <v>584</v>
      </c>
      <c r="C10" s="27" t="s">
        <v>612</v>
      </c>
      <c r="D10" s="33">
        <f>SUMIF('10_PIEZAS'!$D$6:$D$35,$B10,'10_PIEZAS'!$H$6:$H$35)</f>
        <v>49.6</v>
      </c>
      <c r="E10" s="39">
        <f>SUMIF('10_PIEZAS'!$D$6:$D$35,$B10,'10_PIEZAS'!$I$6:$I$35)</f>
        <v>2480</v>
      </c>
      <c r="F10" s="33">
        <f t="shared" si="0"/>
        <v>50</v>
      </c>
      <c r="G10" s="61">
        <v>0</v>
      </c>
      <c r="H10" s="61">
        <v>0</v>
      </c>
      <c r="I10" s="58">
        <v>0.35</v>
      </c>
      <c r="J10" s="31">
        <v>45</v>
      </c>
      <c r="K10" s="47">
        <f t="shared" si="1"/>
        <v>15.749999999999998</v>
      </c>
      <c r="L10" s="31">
        <v>0</v>
      </c>
      <c r="M10" s="47">
        <f t="shared" si="2"/>
        <v>15.749999999999998</v>
      </c>
      <c r="N10" s="28">
        <v>0.25</v>
      </c>
      <c r="O10" s="47">
        <f t="shared" si="3"/>
        <v>19.687499999999996</v>
      </c>
      <c r="P10" s="47">
        <f t="shared" si="4"/>
        <v>0.39374999999999993</v>
      </c>
      <c r="Q10" s="47">
        <f t="shared" si="5"/>
        <v>0.39374999999999993</v>
      </c>
    </row>
    <row r="11" spans="2:17" ht="15" customHeight="1" x14ac:dyDescent="0.3">
      <c r="B11" s="34" t="s">
        <v>587</v>
      </c>
      <c r="C11" s="27" t="s">
        <v>612</v>
      </c>
      <c r="D11" s="33">
        <f>SUMIF('10_PIEZAS'!$D$6:$D$35,$B11,'10_PIEZAS'!$H$6:$H$35)</f>
        <v>49.6</v>
      </c>
      <c r="E11" s="39">
        <f>SUMIF('10_PIEZAS'!$D$6:$D$35,$B11,'10_PIEZAS'!$I$6:$I$35)</f>
        <v>1520</v>
      </c>
      <c r="F11" s="33">
        <f t="shared" si="0"/>
        <v>30.64516129032258</v>
      </c>
      <c r="G11" s="61">
        <v>0</v>
      </c>
      <c r="H11" s="61">
        <v>0</v>
      </c>
      <c r="I11" s="58">
        <v>0.5</v>
      </c>
      <c r="J11" s="31">
        <v>45</v>
      </c>
      <c r="K11" s="47">
        <f t="shared" si="1"/>
        <v>22.5</v>
      </c>
      <c r="L11" s="31">
        <v>0</v>
      </c>
      <c r="M11" s="47">
        <f t="shared" si="2"/>
        <v>22.5</v>
      </c>
      <c r="N11" s="28">
        <v>0.25</v>
      </c>
      <c r="O11" s="47">
        <f t="shared" si="3"/>
        <v>28.125</v>
      </c>
      <c r="P11" s="47">
        <f t="shared" si="4"/>
        <v>0.91776315789473684</v>
      </c>
      <c r="Q11" s="47">
        <f t="shared" si="5"/>
        <v>0.91776315789473684</v>
      </c>
    </row>
    <row r="12" spans="2:17" ht="15" customHeight="1" x14ac:dyDescent="0.3">
      <c r="B12" s="34" t="s">
        <v>590</v>
      </c>
      <c r="C12" s="27" t="s">
        <v>611</v>
      </c>
      <c r="D12" s="33">
        <f>SUMIF('10_PIEZAS'!$D$6:$D$35,$B12,'10_PIEZAS'!$H$6:$H$35)</f>
        <v>12.6</v>
      </c>
      <c r="E12" s="39">
        <f>SUMIF('10_PIEZAS'!$D$6:$D$35,$B12,'10_PIEZAS'!$I$6:$I$35)</f>
        <v>1652</v>
      </c>
      <c r="F12" s="33">
        <f t="shared" si="0"/>
        <v>131.11111111111111</v>
      </c>
      <c r="G12" s="61">
        <v>0</v>
      </c>
      <c r="H12" s="61">
        <v>0</v>
      </c>
      <c r="I12" s="58">
        <v>0.2</v>
      </c>
      <c r="J12" s="31">
        <v>45</v>
      </c>
      <c r="K12" s="47">
        <f t="shared" si="1"/>
        <v>9</v>
      </c>
      <c r="L12" s="31">
        <v>0</v>
      </c>
      <c r="M12" s="47">
        <f t="shared" si="2"/>
        <v>9</v>
      </c>
      <c r="N12" s="28">
        <v>0.25</v>
      </c>
      <c r="O12" s="47">
        <f t="shared" si="3"/>
        <v>11.25</v>
      </c>
      <c r="P12" s="47">
        <f t="shared" si="4"/>
        <v>8.5805084745762705E-2</v>
      </c>
      <c r="Q12" s="47">
        <f t="shared" si="5"/>
        <v>11.25</v>
      </c>
    </row>
    <row r="14" spans="2:17" ht="55.5" customHeight="1" x14ac:dyDescent="0.3">
      <c r="B14" s="9" t="s">
        <v>613</v>
      </c>
      <c r="C14" s="9"/>
      <c r="D14" s="9"/>
      <c r="E14" s="9"/>
      <c r="F14" s="9"/>
      <c r="G14" s="9"/>
      <c r="H14" s="9"/>
      <c r="I14" s="9"/>
      <c r="J14" s="9"/>
      <c r="K14" s="9"/>
      <c r="L14" s="9"/>
      <c r="M14" s="9"/>
      <c r="N14" s="9"/>
      <c r="O14" s="9"/>
      <c r="P14" s="9"/>
      <c r="Q14" s="9"/>
    </row>
  </sheetData>
  <mergeCells count="6">
    <mergeCell ref="B14:Q14"/>
    <mergeCell ref="B2:Q2"/>
    <mergeCell ref="B3:Q3"/>
    <mergeCell ref="B5:E5"/>
    <mergeCell ref="I5:K5"/>
    <mergeCell ref="L5:Q5"/>
  </mergeCells>
  <dataValidations count="1">
    <dataValidation type="list" allowBlank="1" sqref="C7:C12" xr:uid="{00000000-0002-0000-0C00-000000000000}">
      <formula1>"m2,kg"</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L16"/>
  <sheetViews>
    <sheetView zoomScaleNormal="100" workbookViewId="0"/>
  </sheetViews>
  <sheetFormatPr baseColWidth="10" defaultColWidth="8.6640625" defaultRowHeight="14.4" x14ac:dyDescent="0.3"/>
  <cols>
    <col min="1" max="1" width="3" customWidth="1"/>
    <col min="2" max="2" width="16" customWidth="1"/>
    <col min="3" max="3" width="12" customWidth="1"/>
    <col min="4" max="4" width="14" customWidth="1"/>
    <col min="5" max="5" width="13" customWidth="1"/>
    <col min="6" max="6" width="14" customWidth="1"/>
    <col min="7" max="7" width="15" customWidth="1"/>
    <col min="8" max="9" width="14" customWidth="1"/>
    <col min="10" max="10" width="12" customWidth="1"/>
    <col min="11" max="11" width="20" customWidth="1"/>
    <col min="12" max="12" width="45" customWidth="1"/>
  </cols>
  <sheetData>
    <row r="2" spans="2:12" ht="24" customHeight="1" x14ac:dyDescent="0.3">
      <c r="B2" s="14" t="s">
        <v>614</v>
      </c>
      <c r="C2" s="14"/>
      <c r="D2" s="14"/>
      <c r="E2" s="14"/>
      <c r="F2" s="14"/>
      <c r="G2" s="14"/>
      <c r="H2" s="14"/>
      <c r="I2" s="14"/>
      <c r="J2" s="14"/>
      <c r="K2" s="14"/>
      <c r="L2" s="14"/>
    </row>
    <row r="3" spans="2:12" ht="42" customHeight="1" x14ac:dyDescent="0.3">
      <c r="B3" s="9" t="s">
        <v>615</v>
      </c>
      <c r="C3" s="9"/>
      <c r="D3" s="9"/>
      <c r="E3" s="9"/>
      <c r="F3" s="9"/>
      <c r="G3" s="9"/>
      <c r="H3" s="9"/>
      <c r="I3" s="9"/>
      <c r="J3" s="9"/>
      <c r="K3" s="9"/>
      <c r="L3" s="9"/>
    </row>
    <row r="5" spans="2:12" ht="15" customHeight="1" x14ac:dyDescent="0.3">
      <c r="B5" s="23" t="s">
        <v>616</v>
      </c>
      <c r="C5" s="52">
        <v>0.15</v>
      </c>
      <c r="D5" s="76" t="s">
        <v>617</v>
      </c>
      <c r="E5" s="76"/>
      <c r="F5" s="76"/>
      <c r="G5" s="76"/>
      <c r="H5" s="76"/>
      <c r="I5" s="76"/>
      <c r="J5" s="76"/>
      <c r="K5" s="76"/>
      <c r="L5" s="76"/>
    </row>
    <row r="7" spans="2:12" ht="42" customHeight="1" x14ac:dyDescent="0.3">
      <c r="B7" s="19" t="s">
        <v>561</v>
      </c>
      <c r="C7" s="19" t="s">
        <v>618</v>
      </c>
      <c r="D7" s="19" t="s">
        <v>619</v>
      </c>
      <c r="E7" s="19" t="s">
        <v>620</v>
      </c>
      <c r="F7" s="19" t="s">
        <v>621</v>
      </c>
      <c r="G7" s="19" t="s">
        <v>622</v>
      </c>
      <c r="H7" s="19" t="s">
        <v>623</v>
      </c>
      <c r="I7" s="19" t="s">
        <v>624</v>
      </c>
      <c r="J7" s="19" t="s">
        <v>625</v>
      </c>
      <c r="K7" s="19" t="s">
        <v>626</v>
      </c>
      <c r="L7" s="19" t="s">
        <v>627</v>
      </c>
    </row>
    <row r="8" spans="2:12" ht="30" customHeight="1" x14ac:dyDescent="0.3">
      <c r="B8" s="34" t="s">
        <v>571</v>
      </c>
      <c r="C8" s="42">
        <f>SUMIF('10_PIEZAS'!$D$6:$D$35,$B8,'10_PIEZAS'!$I$6:$I$35)/1000</f>
        <v>9.5</v>
      </c>
      <c r="D8" s="62">
        <v>14</v>
      </c>
      <c r="E8" s="33">
        <f t="shared" ref="E8:E13" si="0">IF(D8=0,"",255/D8)</f>
        <v>18.214285714285715</v>
      </c>
      <c r="F8" s="52">
        <v>0.08</v>
      </c>
      <c r="G8" s="33">
        <f t="shared" ref="G8:G13" si="1">IF(D8=0,"",C8*E8*(1-F8))</f>
        <v>159.19285714285718</v>
      </c>
      <c r="H8" s="41">
        <f>SUMIF('10_PIEZAS'!$D$6:$D$35,$B8,'10_PIEZAS'!$H$6:$H$35)</f>
        <v>134.19999999999999</v>
      </c>
      <c r="I8" s="33">
        <f t="shared" ref="I8:I13" si="2">IF(OR(G8="",H8=0),"",H8-G8)</f>
        <v>-24.99285714285719</v>
      </c>
      <c r="J8" s="40">
        <f t="shared" ref="J8:J13" si="3">IF(OR(G8="",G8=0,H8=0),"",(H8-G8)/G8)</f>
        <v>-0.15699735271683071</v>
      </c>
      <c r="K8" s="21" t="str">
        <f t="shared" ref="K8:K13" si="4">IF(J8="","SIN DATOS",IF(ABS(J8)&gt;$C$5,"⚠ REEVALUAR","OK"))</f>
        <v>⚠ REEVALUAR</v>
      </c>
      <c r="L8" s="22" t="s">
        <v>628</v>
      </c>
    </row>
    <row r="9" spans="2:12" ht="30" customHeight="1" x14ac:dyDescent="0.3">
      <c r="B9" s="34" t="s">
        <v>576</v>
      </c>
      <c r="C9" s="42">
        <f>SUMIF('10_PIEZAS'!$D$6:$D$35,$B9,'10_PIEZAS'!$I$6:$I$35)/1000</f>
        <v>38.130000000000003</v>
      </c>
      <c r="D9" s="62">
        <v>11</v>
      </c>
      <c r="E9" s="33">
        <f t="shared" si="0"/>
        <v>23.181818181818183</v>
      </c>
      <c r="F9" s="52">
        <v>0.1</v>
      </c>
      <c r="G9" s="33">
        <f t="shared" si="1"/>
        <v>795.53045454545463</v>
      </c>
      <c r="H9" s="41">
        <f>SUMIF('10_PIEZAS'!$D$6:$D$35,$B9,'10_PIEZAS'!$H$6:$H$35)</f>
        <v>682.8</v>
      </c>
      <c r="I9" s="33">
        <f t="shared" si="2"/>
        <v>-112.73045454545468</v>
      </c>
      <c r="J9" s="40">
        <f t="shared" si="3"/>
        <v>-0.14170476303118518</v>
      </c>
      <c r="K9" s="21" t="str">
        <f t="shared" si="4"/>
        <v>OK</v>
      </c>
      <c r="L9" s="22" t="s">
        <v>629</v>
      </c>
    </row>
    <row r="10" spans="2:12" ht="30" customHeight="1" x14ac:dyDescent="0.3">
      <c r="B10" s="34" t="s">
        <v>581</v>
      </c>
      <c r="C10" s="42">
        <f>SUMIF('10_PIEZAS'!$D$6:$D$35,$B10,'10_PIEZAS'!$I$6:$I$35)/1000</f>
        <v>16.5</v>
      </c>
      <c r="D10" s="62">
        <v>7</v>
      </c>
      <c r="E10" s="33">
        <f t="shared" si="0"/>
        <v>36.428571428571431</v>
      </c>
      <c r="F10" s="52">
        <v>0.05</v>
      </c>
      <c r="G10" s="33">
        <f t="shared" si="1"/>
        <v>571.01785714285711</v>
      </c>
      <c r="H10" s="41">
        <f>SUMIF('10_PIEZAS'!$D$6:$D$35,$B10,'10_PIEZAS'!$H$6:$H$35)</f>
        <v>420</v>
      </c>
      <c r="I10" s="33">
        <f t="shared" si="2"/>
        <v>-151.01785714285711</v>
      </c>
      <c r="J10" s="40">
        <f t="shared" si="3"/>
        <v>-0.26447133877474432</v>
      </c>
      <c r="K10" s="21" t="str">
        <f t="shared" si="4"/>
        <v>⚠ REEVALUAR</v>
      </c>
      <c r="L10" s="22" t="s">
        <v>630</v>
      </c>
    </row>
    <row r="11" spans="2:12" ht="30" customHeight="1" x14ac:dyDescent="0.3">
      <c r="B11" s="34" t="s">
        <v>584</v>
      </c>
      <c r="C11" s="42">
        <f>SUMIF('10_PIEZAS'!$D$6:$D$35,$B11,'10_PIEZAS'!$I$6:$I$35)/1000</f>
        <v>2.48</v>
      </c>
      <c r="D11" s="62">
        <v>8</v>
      </c>
      <c r="E11" s="33">
        <f t="shared" si="0"/>
        <v>31.875</v>
      </c>
      <c r="F11" s="52">
        <v>0.15</v>
      </c>
      <c r="G11" s="33">
        <f t="shared" si="1"/>
        <v>67.192499999999995</v>
      </c>
      <c r="H11" s="41">
        <f>SUMIF('10_PIEZAS'!$D$6:$D$35,$B11,'10_PIEZAS'!$H$6:$H$35)</f>
        <v>49.6</v>
      </c>
      <c r="I11" s="33">
        <f t="shared" si="2"/>
        <v>-17.592499999999994</v>
      </c>
      <c r="J11" s="40">
        <f t="shared" si="3"/>
        <v>-0.26182237600922714</v>
      </c>
      <c r="K11" s="21" t="str">
        <f t="shared" si="4"/>
        <v>⚠ REEVALUAR</v>
      </c>
      <c r="L11" s="22" t="s">
        <v>631</v>
      </c>
    </row>
    <row r="12" spans="2:12" ht="30" customHeight="1" x14ac:dyDescent="0.3">
      <c r="B12" s="34" t="s">
        <v>587</v>
      </c>
      <c r="C12" s="42">
        <f>SUMIF('10_PIEZAS'!$D$6:$D$35,$B12,'10_PIEZAS'!$I$6:$I$35)/1000</f>
        <v>1.52</v>
      </c>
      <c r="D12" s="62">
        <v>6</v>
      </c>
      <c r="E12" s="33">
        <f t="shared" si="0"/>
        <v>42.5</v>
      </c>
      <c r="F12" s="52">
        <v>0.05</v>
      </c>
      <c r="G12" s="33">
        <f t="shared" si="1"/>
        <v>61.36999999999999</v>
      </c>
      <c r="H12" s="41">
        <f>SUMIF('10_PIEZAS'!$D$6:$D$35,$B12,'10_PIEZAS'!$H$6:$H$35)</f>
        <v>49.6</v>
      </c>
      <c r="I12" s="33">
        <f t="shared" si="2"/>
        <v>-11.769999999999989</v>
      </c>
      <c r="J12" s="40">
        <f t="shared" si="3"/>
        <v>-0.19178751833143215</v>
      </c>
      <c r="K12" s="21" t="str">
        <f t="shared" si="4"/>
        <v>⚠ REEVALUAR</v>
      </c>
      <c r="L12" s="22" t="s">
        <v>632</v>
      </c>
    </row>
    <row r="13" spans="2:12" ht="30" customHeight="1" x14ac:dyDescent="0.3">
      <c r="B13" s="34" t="s">
        <v>590</v>
      </c>
      <c r="C13" s="42">
        <f>SUMIF('10_PIEZAS'!$D$6:$D$35,$B13,'10_PIEZAS'!$I$6:$I$35)/1000</f>
        <v>1.6519999999999999</v>
      </c>
      <c r="D13" s="62">
        <v>38</v>
      </c>
      <c r="E13" s="33">
        <f t="shared" si="0"/>
        <v>6.7105263157894735</v>
      </c>
      <c r="F13" s="52">
        <v>0.2</v>
      </c>
      <c r="G13" s="33">
        <f t="shared" si="1"/>
        <v>8.8686315789473689</v>
      </c>
      <c r="H13" s="41">
        <f>SUMIF('10_PIEZAS'!$D$6:$D$35,$B13,'10_PIEZAS'!$H$6:$H$35)</f>
        <v>12.6</v>
      </c>
      <c r="I13" s="33">
        <f t="shared" si="2"/>
        <v>3.7313684210526308</v>
      </c>
      <c r="J13" s="40">
        <f t="shared" si="3"/>
        <v>0.42073778664007966</v>
      </c>
      <c r="K13" s="21" t="str">
        <f t="shared" si="4"/>
        <v>⚠ REEVALUAR</v>
      </c>
      <c r="L13" s="22" t="s">
        <v>633</v>
      </c>
    </row>
    <row r="14" spans="2:12" ht="15" customHeight="1" x14ac:dyDescent="0.3">
      <c r="B14" s="43" t="s">
        <v>307</v>
      </c>
      <c r="C14" s="63">
        <f>SUM(C8:C13)</f>
        <v>69.781999999999996</v>
      </c>
      <c r="G14" s="44">
        <f>SUM(G8:G13)</f>
        <v>1663.1723004101163</v>
      </c>
      <c r="H14" s="44">
        <f>SUM(H8:H13)</f>
        <v>1348.7999999999997</v>
      </c>
      <c r="I14" s="44">
        <f>SUM(I8:I13)</f>
        <v>-314.37230041011628</v>
      </c>
      <c r="J14" s="64">
        <f>IF(OR(G14=0,H14=0),"",(H14-G14)/G14)</f>
        <v>-0.18901968264658842</v>
      </c>
      <c r="K14" s="65" t="str">
        <f>IF(J14="","",IF(ABS(J14)&gt;$C$5,"⚠ REEVALUAR","OK"))</f>
        <v>⚠ REEVALUAR</v>
      </c>
    </row>
    <row r="16" spans="2:12" ht="55.5" customHeight="1" x14ac:dyDescent="0.3">
      <c r="B16" s="9" t="s">
        <v>634</v>
      </c>
      <c r="C16" s="9"/>
      <c r="D16" s="9"/>
      <c r="E16" s="9"/>
      <c r="F16" s="9"/>
      <c r="G16" s="9"/>
      <c r="H16" s="9"/>
      <c r="I16" s="9"/>
      <c r="J16" s="9"/>
      <c r="K16" s="9"/>
      <c r="L16" s="9"/>
    </row>
  </sheetData>
  <mergeCells count="4">
    <mergeCell ref="B2:L2"/>
    <mergeCell ref="B3:L3"/>
    <mergeCell ref="D5:L5"/>
    <mergeCell ref="B16:L16"/>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E40"/>
  <sheetViews>
    <sheetView zoomScaleNormal="100" workbookViewId="0"/>
  </sheetViews>
  <sheetFormatPr baseColWidth="10" defaultColWidth="8.6640625" defaultRowHeight="14.4" x14ac:dyDescent="0.3"/>
  <cols>
    <col min="1" max="1" width="3" customWidth="1"/>
    <col min="2" max="2" width="34" customWidth="1"/>
    <col min="3" max="3" width="22" customWidth="1"/>
    <col min="4" max="4" width="10" customWidth="1"/>
    <col min="5" max="5" width="80" customWidth="1"/>
  </cols>
  <sheetData>
    <row r="2" spans="2:5" ht="24" customHeight="1" x14ac:dyDescent="0.3">
      <c r="B2" s="14" t="s">
        <v>635</v>
      </c>
      <c r="C2" s="14"/>
      <c r="D2" s="14"/>
      <c r="E2" s="14"/>
    </row>
    <row r="3" spans="2:5" ht="43.5" customHeight="1" x14ac:dyDescent="0.3">
      <c r="B3" s="9" t="s">
        <v>636</v>
      </c>
      <c r="C3" s="9"/>
      <c r="D3" s="9"/>
      <c r="E3" s="9"/>
    </row>
    <row r="5" spans="2:5" ht="15" customHeight="1" x14ac:dyDescent="0.3">
      <c r="B5" s="10" t="s">
        <v>637</v>
      </c>
      <c r="C5" s="10"/>
      <c r="D5" s="10"/>
      <c r="E5" s="10"/>
    </row>
    <row r="6" spans="2:5" ht="15" customHeight="1" x14ac:dyDescent="0.3">
      <c r="B6" s="19" t="s">
        <v>638</v>
      </c>
      <c r="C6" s="19" t="s">
        <v>639</v>
      </c>
      <c r="D6" s="19" t="s">
        <v>640</v>
      </c>
      <c r="E6" s="19" t="s">
        <v>641</v>
      </c>
    </row>
    <row r="7" spans="2:5" ht="42" customHeight="1" x14ac:dyDescent="0.3">
      <c r="B7" s="20" t="s">
        <v>642</v>
      </c>
      <c r="C7" s="22" t="s">
        <v>643</v>
      </c>
      <c r="D7" s="66" t="s">
        <v>644</v>
      </c>
      <c r="E7" s="22" t="s">
        <v>645</v>
      </c>
    </row>
    <row r="8" spans="2:5" ht="42" customHeight="1" x14ac:dyDescent="0.3">
      <c r="B8" s="20" t="s">
        <v>646</v>
      </c>
      <c r="C8" s="22" t="s">
        <v>647</v>
      </c>
      <c r="D8" s="66" t="s">
        <v>644</v>
      </c>
      <c r="E8" s="22" t="s">
        <v>648</v>
      </c>
    </row>
    <row r="9" spans="2:5" ht="42" customHeight="1" x14ac:dyDescent="0.3">
      <c r="B9" s="20" t="s">
        <v>649</v>
      </c>
      <c r="C9" s="22" t="s">
        <v>650</v>
      </c>
      <c r="D9" s="66" t="s">
        <v>644</v>
      </c>
      <c r="E9" s="22" t="s">
        <v>651</v>
      </c>
    </row>
    <row r="10" spans="2:5" ht="42" customHeight="1" x14ac:dyDescent="0.3">
      <c r="B10" s="20" t="s">
        <v>652</v>
      </c>
      <c r="C10" s="22" t="s">
        <v>653</v>
      </c>
      <c r="D10" s="66" t="s">
        <v>644</v>
      </c>
      <c r="E10" s="22" t="s">
        <v>654</v>
      </c>
    </row>
    <row r="11" spans="2:5" ht="42" customHeight="1" x14ac:dyDescent="0.3">
      <c r="B11" s="20" t="s">
        <v>655</v>
      </c>
      <c r="C11" s="22" t="s">
        <v>656</v>
      </c>
      <c r="D11" s="66" t="s">
        <v>644</v>
      </c>
      <c r="E11" s="22" t="s">
        <v>657</v>
      </c>
    </row>
    <row r="12" spans="2:5" ht="42" customHeight="1" x14ac:dyDescent="0.3">
      <c r="B12" s="20" t="s">
        <v>658</v>
      </c>
      <c r="C12" s="22" t="s">
        <v>659</v>
      </c>
      <c r="D12" s="66" t="s">
        <v>644</v>
      </c>
      <c r="E12" s="22" t="s">
        <v>660</v>
      </c>
    </row>
    <row r="13" spans="2:5" ht="42" customHeight="1" x14ac:dyDescent="0.3">
      <c r="B13" s="20" t="s">
        <v>661</v>
      </c>
      <c r="C13" s="22" t="s">
        <v>662</v>
      </c>
      <c r="D13" s="66" t="s">
        <v>644</v>
      </c>
      <c r="E13" s="22" t="s">
        <v>663</v>
      </c>
    </row>
    <row r="15" spans="2:5" ht="15" customHeight="1" x14ac:dyDescent="0.3">
      <c r="B15" s="10" t="s">
        <v>664</v>
      </c>
      <c r="C15" s="10"/>
      <c r="D15" s="10"/>
      <c r="E15" s="10"/>
    </row>
    <row r="16" spans="2:5" ht="15" customHeight="1" x14ac:dyDescent="0.3">
      <c r="B16" s="19" t="s">
        <v>665</v>
      </c>
      <c r="C16" s="19" t="s">
        <v>120</v>
      </c>
      <c r="D16" s="19" t="s">
        <v>666</v>
      </c>
      <c r="E16" s="19" t="s">
        <v>667</v>
      </c>
    </row>
    <row r="17" spans="2:5" ht="15" customHeight="1" x14ac:dyDescent="0.3">
      <c r="B17" s="22" t="s">
        <v>668</v>
      </c>
      <c r="C17" s="67">
        <f>'10_PIEZAS'!H36</f>
        <v>1348.7999999999997</v>
      </c>
      <c r="D17" s="66" t="s">
        <v>669</v>
      </c>
      <c r="E17" s="46" t="s">
        <v>670</v>
      </c>
    </row>
    <row r="18" spans="2:5" ht="15" customHeight="1" x14ac:dyDescent="0.3">
      <c r="B18" s="22" t="s">
        <v>671</v>
      </c>
      <c r="C18" s="68">
        <f>'10_PIEZAS'!I36</f>
        <v>69782</v>
      </c>
      <c r="D18" s="66" t="s">
        <v>612</v>
      </c>
      <c r="E18" s="46" t="s">
        <v>672</v>
      </c>
    </row>
    <row r="19" spans="2:5" ht="15" customHeight="1" x14ac:dyDescent="0.3">
      <c r="B19" s="22" t="s">
        <v>673</v>
      </c>
      <c r="C19" s="67">
        <f>'4_CALCULO'!N26</f>
        <v>1782.4180399719494</v>
      </c>
      <c r="D19" s="66" t="s">
        <v>674</v>
      </c>
      <c r="E19" s="46" t="s">
        <v>675</v>
      </c>
    </row>
    <row r="20" spans="2:5" ht="15" customHeight="1" x14ac:dyDescent="0.3">
      <c r="B20" s="22" t="s">
        <v>676</v>
      </c>
      <c r="C20" s="67">
        <f>'4_CALCULO'!P26</f>
        <v>2704.9835766072438</v>
      </c>
      <c r="D20" s="66" t="s">
        <v>674</v>
      </c>
      <c r="E20" s="46" t="s">
        <v>677</v>
      </c>
    </row>
    <row r="21" spans="2:5" ht="15" customHeight="1" x14ac:dyDescent="0.3">
      <c r="B21" s="22" t="s">
        <v>678</v>
      </c>
      <c r="C21" s="67">
        <f>'4_CALCULO'!Q26</f>
        <v>922.56553663529417</v>
      </c>
      <c r="D21" s="66" t="s">
        <v>674</v>
      </c>
      <c r="E21" s="46" t="s">
        <v>679</v>
      </c>
    </row>
    <row r="22" spans="2:5" ht="15" customHeight="1" x14ac:dyDescent="0.3">
      <c r="B22" s="22" t="s">
        <v>680</v>
      </c>
      <c r="C22" s="68">
        <f>'5_RESUMEN'!I14</f>
        <v>127</v>
      </c>
      <c r="D22" s="66" t="s">
        <v>681</v>
      </c>
      <c r="E22" s="46" t="s">
        <v>682</v>
      </c>
    </row>
    <row r="23" spans="2:5" ht="15" customHeight="1" x14ac:dyDescent="0.3">
      <c r="B23" s="22" t="s">
        <v>683</v>
      </c>
      <c r="C23" s="69">
        <f>'5_RESUMEN'!L14</f>
        <v>0</v>
      </c>
      <c r="D23" s="66" t="s">
        <v>684</v>
      </c>
      <c r="E23" s="46" t="s">
        <v>685</v>
      </c>
    </row>
    <row r="24" spans="2:5" ht="15" customHeight="1" x14ac:dyDescent="0.3">
      <c r="B24" s="22" t="s">
        <v>686</v>
      </c>
      <c r="C24" s="68">
        <f>'7_ABRASIVO'!M29</f>
        <v>3650</v>
      </c>
      <c r="D24" s="66" t="s">
        <v>612</v>
      </c>
      <c r="E24" s="46" t="s">
        <v>687</v>
      </c>
    </row>
    <row r="25" spans="2:5" ht="15" customHeight="1" x14ac:dyDescent="0.3">
      <c r="B25" s="22" t="s">
        <v>688</v>
      </c>
      <c r="C25" s="69">
        <f>'7_ABRASIVO'!N29</f>
        <v>0</v>
      </c>
      <c r="D25" s="66" t="s">
        <v>684</v>
      </c>
      <c r="E25" s="46" t="s">
        <v>689</v>
      </c>
    </row>
    <row r="26" spans="2:5" ht="15" customHeight="1" x14ac:dyDescent="0.3">
      <c r="B26" s="22" t="s">
        <v>690</v>
      </c>
      <c r="C26" s="69">
        <f>'10_PIEZAS'!K36</f>
        <v>29671.3125</v>
      </c>
      <c r="D26" s="66" t="s">
        <v>684</v>
      </c>
      <c r="E26" s="46" t="s">
        <v>691</v>
      </c>
    </row>
    <row r="27" spans="2:5" ht="15" customHeight="1" x14ac:dyDescent="0.3">
      <c r="B27" s="22" t="s">
        <v>692</v>
      </c>
      <c r="C27" s="69">
        <f>IF('10_PIEZAS'!H36=0,"",'10_PIEZAS'!K36/'10_PIEZAS'!H36)</f>
        <v>21.998304048042709</v>
      </c>
      <c r="D27" s="66" t="s">
        <v>693</v>
      </c>
      <c r="E27" s="46" t="s">
        <v>694</v>
      </c>
    </row>
    <row r="28" spans="2:5" ht="15" customHeight="1" x14ac:dyDescent="0.3">
      <c r="B28" s="22" t="s">
        <v>695</v>
      </c>
      <c r="C28" s="69">
        <f>'10_PIEZAS'!L36</f>
        <v>0.42520008741509274</v>
      </c>
      <c r="D28" s="66" t="s">
        <v>696</v>
      </c>
      <c r="E28" s="46" t="s">
        <v>697</v>
      </c>
    </row>
    <row r="29" spans="2:5" ht="15" customHeight="1" x14ac:dyDescent="0.3">
      <c r="B29" s="22" t="s">
        <v>698</v>
      </c>
      <c r="C29" s="68">
        <f>COUNTIF('12_ESTIMACION'!K8:K13,"⚠ REEVALUAR")</f>
        <v>5</v>
      </c>
      <c r="D29" s="66" t="s">
        <v>699</v>
      </c>
      <c r="E29" s="46" t="s">
        <v>700</v>
      </c>
    </row>
    <row r="31" spans="2:5" ht="15" customHeight="1" x14ac:dyDescent="0.3">
      <c r="B31" s="10" t="s">
        <v>701</v>
      </c>
      <c r="C31" s="10"/>
      <c r="D31" s="10"/>
      <c r="E31" s="10"/>
    </row>
    <row r="32" spans="2:5" ht="15" customHeight="1" x14ac:dyDescent="0.3">
      <c r="B32" s="19" t="s">
        <v>561</v>
      </c>
      <c r="C32" s="19" t="s">
        <v>702</v>
      </c>
      <c r="D32" s="19" t="s">
        <v>666</v>
      </c>
      <c r="E32" s="19" t="s">
        <v>667</v>
      </c>
    </row>
    <row r="33" spans="2:5" ht="15" customHeight="1" x14ac:dyDescent="0.3">
      <c r="B33" s="34" t="s">
        <v>571</v>
      </c>
      <c r="C33" s="69">
        <f>'11_APU'!Q7</f>
        <v>19.687499999999996</v>
      </c>
      <c r="D33" s="70" t="str">
        <f>'11_APU'!C7</f>
        <v>m2</v>
      </c>
      <c r="E33" s="46" t="s">
        <v>703</v>
      </c>
    </row>
    <row r="34" spans="2:5" ht="15" customHeight="1" x14ac:dyDescent="0.3">
      <c r="B34" s="34" t="s">
        <v>576</v>
      </c>
      <c r="C34" s="69">
        <f>'11_APU'!Q8</f>
        <v>16.875</v>
      </c>
      <c r="D34" s="70" t="str">
        <f>'11_APU'!C8</f>
        <v>m2</v>
      </c>
      <c r="E34" s="46" t="s">
        <v>704</v>
      </c>
    </row>
    <row r="35" spans="2:5" ht="15" customHeight="1" x14ac:dyDescent="0.3">
      <c r="B35" s="34" t="s">
        <v>581</v>
      </c>
      <c r="C35" s="69">
        <f>'11_APU'!Q9</f>
        <v>30.937500000000004</v>
      </c>
      <c r="D35" s="70" t="str">
        <f>'11_APU'!C9</f>
        <v>m2</v>
      </c>
      <c r="E35" s="46" t="s">
        <v>705</v>
      </c>
    </row>
    <row r="36" spans="2:5" ht="15" customHeight="1" x14ac:dyDescent="0.3">
      <c r="B36" s="34" t="s">
        <v>584</v>
      </c>
      <c r="C36" s="69">
        <f>'11_APU'!Q10</f>
        <v>0.39374999999999993</v>
      </c>
      <c r="D36" s="70" t="str">
        <f>'11_APU'!C10</f>
        <v>kg</v>
      </c>
      <c r="E36" s="46" t="s">
        <v>706</v>
      </c>
    </row>
    <row r="37" spans="2:5" ht="15" customHeight="1" x14ac:dyDescent="0.3">
      <c r="B37" s="34" t="s">
        <v>587</v>
      </c>
      <c r="C37" s="69">
        <f>'11_APU'!Q11</f>
        <v>0.91776315789473684</v>
      </c>
      <c r="D37" s="70" t="str">
        <f>'11_APU'!C11</f>
        <v>kg</v>
      </c>
      <c r="E37" s="46" t="s">
        <v>707</v>
      </c>
    </row>
    <row r="38" spans="2:5" ht="15" customHeight="1" x14ac:dyDescent="0.3">
      <c r="B38" s="34" t="s">
        <v>590</v>
      </c>
      <c r="C38" s="69">
        <f>'11_APU'!Q12</f>
        <v>11.25</v>
      </c>
      <c r="D38" s="70" t="str">
        <f>'11_APU'!C12</f>
        <v>m2</v>
      </c>
      <c r="E38" s="46" t="s">
        <v>708</v>
      </c>
    </row>
    <row r="40" spans="2:5" ht="43.5" customHeight="1" x14ac:dyDescent="0.3">
      <c r="B40" s="9" t="s">
        <v>709</v>
      </c>
      <c r="C40" s="9"/>
      <c r="D40" s="9"/>
      <c r="E40" s="9"/>
    </row>
  </sheetData>
  <mergeCells count="6">
    <mergeCell ref="B40:E40"/>
    <mergeCell ref="B2:E2"/>
    <mergeCell ref="B3:E3"/>
    <mergeCell ref="B5:E5"/>
    <mergeCell ref="B15:E15"/>
    <mergeCell ref="B31:E3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19</vt:i4>
      </vt:variant>
    </vt:vector>
  </HeadingPairs>
  <TitlesOfParts>
    <vt:vector size="34" baseType="lpstr">
      <vt:lpstr>0_PASO_A_PASO</vt:lpstr>
      <vt:lpstr>13_PANEL</vt:lpstr>
      <vt:lpstr>1_INSTRUCCIONES</vt:lpstr>
      <vt:lpstr>2_HOJA_TECNICA</vt:lpstr>
      <vt:lpstr>3_FACTORES</vt:lpstr>
      <vt:lpstr>4_CALCULO</vt:lpstr>
      <vt:lpstr>5_RESUMEN</vt:lpstr>
      <vt:lpstr>6_IGNIFUGO</vt:lpstr>
      <vt:lpstr>7_ABRASIVO</vt:lpstr>
      <vt:lpstr>8_GLOSARIO</vt:lpstr>
      <vt:lpstr>9_CONCEPTOS</vt:lpstr>
      <vt:lpstr>10_PIEZAS</vt:lpstr>
      <vt:lpstr>11_APU</vt:lpstr>
      <vt:lpstr>12_ESTIMACION</vt:lpstr>
      <vt:lpstr>14_INTERFAZ_MOTOR</vt:lpstr>
      <vt:lpstr>OUT_ALERTAS_AREA</vt:lpstr>
      <vt:lpstr>OUT_AREA_M2</vt:lpstr>
      <vt:lpstr>OUT_COSTO_ABRASIVO</vt:lpstr>
      <vt:lpstr>OUT_COSTO_APLICACION</vt:lpstr>
      <vt:lpstr>OUT_COSTO_KG</vt:lpstr>
      <vt:lpstr>OUT_COSTO_M2</vt:lpstr>
      <vt:lpstr>OUT_COSTO_PINTURA</vt:lpstr>
      <vt:lpstr>OUT_CUNETES</vt:lpstr>
      <vt:lpstr>OUT_KG_ABRASIVO</vt:lpstr>
      <vt:lpstr>OUT_LITROS_DESPERDICIO</vt:lpstr>
      <vt:lpstr>OUT_LITROS_PRACTICOS</vt:lpstr>
      <vt:lpstr>OUT_LITROS_TEORICOS</vt:lpstr>
      <vt:lpstr>OUT_PESO_KG</vt:lpstr>
      <vt:lpstr>OUT_PU_CELOSIA</vt:lpstr>
      <vt:lpstr>OUT_PU_COLUMNA</vt:lpstr>
      <vt:lpstr>OUT_PU_CONTRAVENTEO</vt:lpstr>
      <vt:lpstr>OUT_PU_MISCELANEO</vt:lpstr>
      <vt:lpstr>OUT_PU_PLACA</vt:lpstr>
      <vt:lpstr>OUT_PU_VIGA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 Michelena</cp:lastModifiedBy>
  <cp:revision>0</cp:revision>
  <dcterms:created xsi:type="dcterms:W3CDTF">2026-07-02T14:32:30Z</dcterms:created>
  <dcterms:modified xsi:type="dcterms:W3CDTF">2026-07-02T16:14:36Z</dcterms:modified>
  <dc:language>en-US</dc:language>
</cp:coreProperties>
</file>