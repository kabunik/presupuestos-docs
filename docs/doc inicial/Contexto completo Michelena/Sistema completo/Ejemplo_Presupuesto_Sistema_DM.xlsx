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11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17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6.vml" ContentType="application/vnd.openxmlformats-officedocument.vmlDrawing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26.xml" ContentType="application/vnd.openxmlformats-officedocument.spreadsheetml.comments+xml"/>
  <Override PartName="/xl/comments22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21.xml" ContentType="application/vnd.openxmlformats-officedocument.spreadsheetml.comments+xml"/>
  <Override PartName="/xl/comments19.xml" ContentType="application/vnd.openxmlformats-officedocument.spreadsheetml.comment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ametros_Version" sheetId="2" state="visible" r:id="rId4"/>
    <sheet name="E1_Ficha" sheetId="3" state="visible" r:id="rId5"/>
    <sheet name="E2_TakeOff" sheetId="4" state="visible" r:id="rId6"/>
    <sheet name="E3_Precios" sheetId="5" state="visible" r:id="rId7"/>
    <sheet name="E4_Planta_VSM" sheetId="6" state="visible" r:id="rId8"/>
    <sheet name="E5_Financieros" sheetId="7" state="visible" r:id="rId9"/>
    <sheet name="E6_Especificaciones" sheetId="8" state="visible" r:id="rId10"/>
    <sheet name="E7_Carga_Inventario" sheetId="9" state="visible" r:id="rId11"/>
    <sheet name="S1_Boom" sheetId="10" state="visible" r:id="rId12"/>
    <sheet name="S2_APU_AISC" sheetId="11" state="visible" r:id="rId13"/>
    <sheet name="S3_Mas6" sheetId="12" state="visible" r:id="rId14"/>
    <sheet name="S11_Velocidad" sheetId="13" state="visible" r:id="rId15"/>
    <sheet name="S4_Opciones" sheetId="14" state="visible" r:id="rId16"/>
    <sheet name="S5_Flujo" sheetId="15" state="visible" r:id="rId17"/>
    <sheet name="S6_Financiero" sheetId="16" state="visible" r:id="rId18"/>
    <sheet name="S7_Requisicion" sheetId="17" state="visible" r:id="rId19"/>
    <sheet name="S8_Secuencia_Grua" sheetId="18" state="visible" r:id="rId20"/>
    <sheet name="S9_Lotes" sheetId="19" state="visible" r:id="rId21"/>
    <sheet name="S10_Checklist_RSS" sheetId="20" state="visible" r:id="rId22"/>
    <sheet name="S12_Programa" sheetId="21" state="visible" r:id="rId23"/>
    <sheet name="LEAN" sheetId="22" state="visible" r:id="rId24"/>
    <sheet name="Rentabilidad" sheetId="23" state="visible" r:id="rId25"/>
    <sheet name="Evidencia" sheetId="24" state="visible" r:id="rId26"/>
    <sheet name="VE" sheetId="25" state="visible" r:id="rId27"/>
    <sheet name="Bitacora_Precios" sheetId="26" state="visible" r:id="rId28"/>
    <sheet name="Interferencia_Familias" sheetId="27" state="visible" r:id="rId29"/>
    <sheet name="Cierre_Proyecto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Invariante 6 v1.7: defecto atado al semáforo RSS; ajustable por perfil, siempre registrado.</t>
        </r>
      </text>
    </comment>
    <comment ref="B9" authorId="0">
      <text>
        <r>
          <rPr>
            <sz val="10"/>
            <rFont val="Arial"/>
            <family val="2"/>
          </rPr>
          <t xml:space="preserve">Derivado de E5 (nómina+prestaciones+CCT), tolerancia 2% vs contabilidad. Invariante 15.</t>
        </r>
      </text>
    </comment>
    <comment ref="B12" authorId="0">
      <text>
        <r>
          <rPr>
            <sz val="10"/>
            <rFont val="Arial"/>
            <family val="2"/>
          </rPr>
          <t xml:space="preserve">Mezcla OT/subcontrato del caso de referencia: $145,521 / 920 HH.</t>
        </r>
      </text>
    </comment>
    <comment ref="B13" authorId="0">
      <text>
        <r>
          <rPr>
            <sz val="10"/>
            <rFont val="Arial"/>
            <family val="2"/>
          </rPr>
          <t xml:space="preserve">E7: HH LIBRES por semana de la planta cargada.</t>
        </r>
      </text>
    </comment>
    <comment ref="C6" authorId="0">
      <text>
        <r>
          <rPr>
            <sz val="10"/>
            <rFont val="Arial"/>
            <family val="2"/>
          </rPr>
          <t xml:space="preserve">Invariante 6 v1.7: defecto atado al semáforo RSS; ajustable por perfil, siempre registrado.</t>
        </r>
      </text>
    </comment>
    <comment ref="D6" authorId="0">
      <text>
        <r>
          <rPr>
            <sz val="10"/>
            <rFont val="Arial"/>
            <family val="2"/>
          </rPr>
          <t xml:space="preserve">Invariante 6 v1.7: defecto atado al semáforo RSS; ajustable por perfil, siempre registrado.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Conexiones, placas y accesorios facturables de la clase 40 HH/t.</t>
        </r>
      </text>
    </comment>
    <comment ref="B8" authorId="0">
      <text>
        <r>
          <rPr>
            <sz val="10"/>
            <rFont val="Arial"/>
            <family val="2"/>
          </rPr>
          <t xml:space="preserve">Clase 40 HH/t (invariante 2): el mismo eje mueve desperdicio, soldadura, conexiones y horas.</t>
        </r>
      </text>
    </comment>
    <comment ref="B11" authorId="0">
      <text>
        <r>
          <rPr>
            <sz val="10"/>
            <rFont val="Arial"/>
            <family val="2"/>
          </rPr>
          <t xml:space="preserve">Reconstruido desde el listado de perfiles. Invariante 4.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Ponderado por mezcla de perfiles del caso de referencia; alimenta S2.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Plan del cliente; pico 38 t/sem en semana 2.</t>
        </r>
      </text>
    </comment>
    <comment ref="C13" authorId="0">
      <text>
        <r>
          <rPr>
            <sz val="10"/>
            <rFont val="Arial"/>
            <family val="2"/>
          </rPr>
          <t xml:space="preserve">Plan del cliente; pico 38 t/sem en semana 2.</t>
        </r>
      </text>
    </comment>
    <comment ref="D13" authorId="0">
      <text>
        <r>
          <rPr>
            <sz val="10"/>
            <rFont val="Arial"/>
            <family val="2"/>
          </rPr>
          <t xml:space="preserve">Plan del cliente; pico 38 t/sem en semana 2.</t>
        </r>
      </text>
    </comment>
    <comment ref="E13" authorId="0">
      <text>
        <r>
          <rPr>
            <sz val="10"/>
            <rFont val="Arial"/>
            <family val="2"/>
          </rPr>
          <t xml:space="preserve">Plan del cliente; pico 38 t/sem en semana 2.</t>
        </r>
      </text>
    </comment>
    <comment ref="F13" authorId="0">
      <text>
        <r>
          <rPr>
            <sz val="10"/>
            <rFont val="Arial"/>
            <family val="2"/>
          </rPr>
          <t xml:space="preserve">Plan del cliente; pico 38 t/sem en semana 2.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Debe igualar el peso facturable de E2 (113.70 t).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Clase 40 HH/t; consumo del caso de referencia.</t>
        </r>
      </text>
    </comment>
    <comment ref="B11" authorId="0">
      <text>
        <r>
          <rPr>
            <sz val="10"/>
            <rFont val="Arial"/>
            <family val="2"/>
          </rPr>
          <t xml:space="preserve">Cubre cargas de planta (E5: 99.61 &lt; 115.45). Invariante 15.</t>
        </r>
      </text>
    </comment>
    <comment ref="B13" authorId="0">
      <text>
        <r>
          <rPr>
            <sz val="10"/>
            <rFont val="Arial"/>
            <family val="2"/>
          </rPr>
          <t xml:space="preserve">Margen del caso de referencia (≈15% sobre costo). La decisión de margen es de dirección.</t>
        </r>
      </text>
    </comment>
    <comment ref="B14" authorId="0">
      <text>
        <r>
          <rPr>
            <sz val="10"/>
            <rFont val="Arial"/>
            <family val="2"/>
          </rPr>
          <t xml:space="preserve">Golden test: $5,977,353.</t>
        </r>
      </text>
    </comment>
    <comment ref="B15" authorId="0">
      <text>
        <r>
          <rPr>
            <sz val="10"/>
            <rFont val="Arial"/>
            <family val="2"/>
          </rPr>
          <t xml:space="preserve">Golden: $52.57/kg.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FIJADO explícitamente en 6% — justificación registrada: "caso de referencia". El defecto de fase ámbar sería 10% (Parametros_Version).</t>
        </r>
      </text>
    </comment>
    <comment ref="B6" authorId="0">
      <text>
        <r>
          <rPr>
            <sz val="10"/>
            <rFont val="Arial"/>
            <family val="2"/>
          </rPr>
          <t xml:space="preserve">Golden: 106.00 t.</t>
        </r>
      </text>
    </comment>
    <comment ref="B13" authorId="0">
      <text>
        <r>
          <rPr>
            <sz val="10"/>
            <rFont val="Arial"/>
            <family val="2"/>
          </rPr>
          <t xml:space="preserve">Golden: $7,793,628 / 106 t.</t>
        </r>
      </text>
    </comment>
    <comment ref="B15" authorId="0">
      <text>
        <r>
          <rPr>
            <sz val="10"/>
            <rFont val="Arial"/>
            <family val="2"/>
          </rPr>
          <t xml:space="preserve">Golden: $7,914,933.</t>
        </r>
      </text>
    </comment>
    <comment ref="B16" authorId="0">
      <text>
        <r>
          <rPr>
            <sz val="10"/>
            <rFont val="Arial"/>
            <family val="2"/>
          </rPr>
          <t xml:space="preserve">Conversión a margen comparable con el APU; valor registrado del caso de referencia.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38 − 24 = 14 t/sem.</t>
        </r>
      </text>
    </comment>
    <comment ref="B8" authorId="0">
      <text>
        <r>
          <rPr>
            <sz val="10"/>
            <rFont val="Arial"/>
            <family val="2"/>
          </rPr>
          <t xml:space="preserve">Golden: 560 HH. Se cubre explícito; nunca se oculta.</t>
        </r>
      </text>
    </comment>
    <comment ref="B13" authorId="0">
      <text>
        <r>
          <rPr>
            <sz val="10"/>
            <rFont val="Arial"/>
            <family val="2"/>
          </rPr>
          <t xml:space="preserve">Golden: 172 / 50.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Costo de financiar los valles del flujo a la tasa del caso. Alimenta S6. Golden: $206,054.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Diferencia de redondeo del caso de referencia: el precio publicado del golden test es $6,183,408.</t>
        </r>
      </text>
    </comment>
    <comment ref="B7" authorId="0">
      <text>
        <r>
          <rPr>
            <sz val="10"/>
            <rFont val="Arial"/>
            <family val="2"/>
          </rPr>
          <t xml:space="preserve">Golden: $6,183,408.</t>
        </r>
      </text>
    </comment>
    <comment ref="B8" authorId="0">
      <text>
        <r>
          <rPr>
            <sz val="10"/>
            <rFont val="Arial"/>
            <family val="2"/>
          </rPr>
          <t xml:space="preserve">Golden: $54.38/kg.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Ajuste a largos comerciales del caso.</t>
        </r>
      </text>
    </comment>
    <comment ref="B6" authorId="0">
      <text>
        <r>
          <rPr>
            <sz val="10"/>
            <rFont val="Arial"/>
            <family val="2"/>
          </rPr>
          <t xml:space="preserve">Golden: 121.55 t.</t>
        </r>
      </text>
    </comment>
    <comment ref="B8" authorId="0">
      <text>
        <r>
          <rPr>
            <sz val="10"/>
            <rFont val="Arial"/>
            <family val="2"/>
          </rPr>
          <t xml:space="preserve">Golden: 87.55 t. Sólo el neto va a compras.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Golden: $76,000. La decisión la valida el EOR.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Del plan de montaje contra planta CARGADA.</t>
        </r>
      </text>
    </comment>
    <comment ref="B8" authorId="0">
      <text>
        <r>
          <rPr>
            <sz val="10"/>
            <rFont val="Arial"/>
            <family val="2"/>
          </rPr>
          <t xml:space="preserve">Golden: 920 HH.</t>
        </r>
      </text>
    </comment>
    <comment ref="B9" authorId="0">
      <text>
        <r>
          <rPr>
            <sz val="10"/>
            <rFont val="Arial"/>
            <family val="2"/>
          </rPr>
          <t xml:space="preserve">Golden: $145,521 = 920 HH × tarifa all-in.</t>
        </r>
      </text>
    </comment>
    <comment ref="C5" authorId="0">
      <text>
        <r>
          <rPr>
            <sz val="10"/>
            <rFont val="Arial"/>
            <family val="2"/>
          </rPr>
          <t xml:space="preserve">Del plan de montaje contra planta CARGADA.</t>
        </r>
      </text>
    </comment>
    <comment ref="D5" authorId="0">
      <text>
        <r>
          <rPr>
            <sz val="10"/>
            <rFont val="Arial"/>
            <family val="2"/>
          </rPr>
          <t xml:space="preserve">Del plan de montaje contra planta CARGADA.</t>
        </r>
      </text>
    </comment>
    <comment ref="E5" authorId="0">
      <text>
        <r>
          <rPr>
            <sz val="10"/>
            <rFont val="Arial"/>
            <family val="2"/>
          </rPr>
          <t xml:space="preserve">Del plan de montaje contra planta CARGADA.</t>
        </r>
      </text>
    </comment>
    <comment ref="F5" authorId="0">
      <text>
        <r>
          <rPr>
            <sz val="10"/>
            <rFont val="Arial"/>
            <family val="2"/>
          </rPr>
          <t xml:space="preserve">Del plan de montaje contra planta CARGADA.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Golden: 9.27%.</t>
        </r>
      </text>
    </comment>
    <comment ref="B12" authorId="0">
      <text>
        <r>
          <rPr>
            <sz val="10"/>
            <rFont val="Arial"/>
            <family val="2"/>
          </rPr>
          <t xml:space="preserve">Gobierna la contingencia y, en v1.7, el % de crecimiento por defecto del Más 6%.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Carga combinada de habilitado del caso (curso + nuevo).</t>
        </r>
      </text>
    </comment>
    <comment ref="B18" authorId="0">
      <text>
        <r>
          <rPr>
            <sz val="10"/>
            <rFont val="Arial"/>
            <family val="2"/>
          </rPr>
          <t xml:space="preserve">Sólo el excedente, hacia la semana con holgura (Sem 5).</t>
        </r>
      </text>
    </comment>
    <comment ref="B19" authorId="0">
      <text>
        <r>
          <rPr>
            <sz val="10"/>
            <rFont val="Arial"/>
            <family val="2"/>
          </rPr>
          <t xml:space="preserve">ceil(600/600)=1.</t>
        </r>
      </text>
    </comment>
    <comment ref="B20" authorId="0">
      <text>
        <r>
          <rPr>
            <sz val="10"/>
            <rFont val="Arial"/>
            <family val="2"/>
          </rPr>
          <t xml:space="preserve">OT 1,000 HH con prima 50% + desplazamiento. Golden: $64,148.</t>
        </r>
      </text>
    </comment>
    <comment ref="C10" authorId="0">
      <text>
        <r>
          <rPr>
            <sz val="10"/>
            <rFont val="Arial"/>
            <family val="2"/>
          </rPr>
          <t xml:space="preserve">Carga combinada de habilitado del caso (curso + nuevo).</t>
        </r>
      </text>
    </comment>
    <comment ref="C24" authorId="0">
      <text>
        <r>
          <rPr>
            <sz val="10"/>
            <rFont val="Arial"/>
            <family val="2"/>
          </rPr>
          <t xml:space="preserve">Margen bruto del caso antes del costo de resolver el déficit.</t>
        </r>
      </text>
    </comment>
    <comment ref="C27" authorId="0">
      <text>
        <r>
          <rPr>
            <sz val="10"/>
            <rFont val="Arial"/>
            <family val="2"/>
          </rPr>
          <t xml:space="preserve">Golden: $832,455.</t>
        </r>
      </text>
    </comment>
    <comment ref="D10" authorId="0">
      <text>
        <r>
          <rPr>
            <sz val="10"/>
            <rFont val="Arial"/>
            <family val="2"/>
          </rPr>
          <t xml:space="preserve">Carga combinada de habilitado del caso (curso + nuevo).</t>
        </r>
      </text>
    </comment>
    <comment ref="E10" authorId="0">
      <text>
        <r>
          <rPr>
            <sz val="10"/>
            <rFont val="Arial"/>
            <family val="2"/>
          </rPr>
          <t xml:space="preserve">Carga combinada de habilitado del caso (curso + nuevo).</t>
        </r>
      </text>
    </comment>
    <comment ref="F10" authorId="0">
      <text>
        <r>
          <rPr>
            <sz val="10"/>
            <rFont val="Arial"/>
            <family val="2"/>
          </rPr>
          <t xml:space="preserve">Carga combinada de habilitado del caso (curso + nuevo).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Base sobre la que se mide el ahorro Lean del caso de referencia.</t>
        </r>
      </text>
    </comment>
    <comment ref="B5" authorId="0">
      <text>
        <r>
          <rPr>
            <sz val="10"/>
            <rFont val="Arial"/>
            <family val="2"/>
          </rPr>
          <t xml:space="preserve">Promesa comercial conservadora: 8–13%. El 30% es caso documentado, no garantía.</t>
        </r>
      </text>
    </comment>
    <comment ref="B6" authorId="0">
      <text>
        <r>
          <rPr>
            <sz val="10"/>
            <rFont val="Arial"/>
            <family val="2"/>
          </rPr>
          <t xml:space="preserve">Golden: $429,263.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Celda a llenar: SÍ / NO. Sin SÍ en todas, la emisión queda bloqueada.</t>
        </r>
      </text>
    </comment>
    <comment ref="F6" authorId="0">
      <text>
        <r>
          <rPr>
            <sz val="10"/>
            <rFont val="Arial"/>
            <family val="2"/>
          </rPr>
          <t xml:space="preserve">Celda a llenar: SÍ / NO. Sin SÍ en todas, la emisión queda bloqueada.</t>
        </r>
      </text>
    </comment>
    <comment ref="F7" authorId="0">
      <text>
        <r>
          <rPr>
            <sz val="10"/>
            <rFont val="Arial"/>
            <family val="2"/>
          </rPr>
          <t xml:space="preserve">Celda a llenar: SÍ / NO. Sin SÍ en todas, la emisión queda bloqueada.</t>
        </r>
      </text>
    </comment>
    <comment ref="F8" authorId="0">
      <text>
        <r>
          <rPr>
            <sz val="10"/>
            <rFont val="Arial"/>
            <family val="2"/>
          </rPr>
          <t xml:space="preserve">Celda a llenar: SÍ / NO. Sin SÍ en todas, la emisión queda bloqueada.</t>
        </r>
      </text>
    </comment>
  </commentList>
</comments>
</file>

<file path=xl/sharedStrings.xml><?xml version="1.0" encoding="utf-8"?>
<sst xmlns="http://schemas.openxmlformats.org/spreadsheetml/2006/main" count="442" uniqueCount="387">
  <si>
    <t xml:space="preserve">Sistema DM — Ejemplo de Presupuesto (golden test)</t>
  </si>
  <si>
    <t xml:space="preserve">v1.7 · 1 de agosto de 2026 · caso de referencia: 100 t, clase 40 HH/t, conexión apernada</t>
  </si>
  <si>
    <t xml:space="preserve">Leyenda de alcance del precio (regla de emisión)</t>
  </si>
  <si>
    <t xml:space="preserve">Este es el mejor precio calculable bajo las condiciones e información actuales de la compañía (planta, inventario, costos y precios confirmados a la fecha) y lo que exige la oferta. No es predicción del precio ganador del mercado; la decisión final de margen y la firma de la oferta son de la dirección.</t>
  </si>
  <si>
    <t xml:space="preserve">Convenciones de color</t>
  </si>
  <si>
    <t xml:space="preserve">Azul: entrada / palanca de escenario</t>
  </si>
  <si>
    <t xml:space="preserve">Negro: fórmula</t>
  </si>
  <si>
    <t xml:space="preserve">Verde: liga a otra hoja</t>
  </si>
  <si>
    <t xml:space="preserve">Amarillo: supuesto clave o celda a llenar</t>
  </si>
  <si>
    <t xml:space="preserve">Parámetros registrados del caso</t>
  </si>
  <si>
    <t xml:space="preserve">Una sola familia/clase (40 HH/t) → subproyectos no aplica; alerta_interferencia_familias = no_aplica.</t>
  </si>
  <si>
    <t xml:space="preserve">Crecimiento "Más 6%" FIJADO en 6% (defecto de la fase RSS ámbar sería 10%); justificación: caso de referencia.</t>
  </si>
  <si>
    <t xml:space="preserve">confirmar_precios_mp: emitida y CONFIRMADA (ver hoja Bitacora_Precios).</t>
  </si>
  <si>
    <t xml:space="preserve">Cierre de proyecto: PENDIENTE (invariante 16 aplica tras la ejecución; no afecta el cálculo).</t>
  </si>
  <si>
    <t xml:space="preserve">Documento rector: claude/instrucciones-sistema-dm.md (v1.7). Orden de conflictos: rector → kit → Excel → narrativa.</t>
  </si>
  <si>
    <t xml:space="preserve">Versión de parámetros v2026.1</t>
  </si>
  <si>
    <t xml:space="preserve">Invariante 16: los parámetros nunca se recalibran solos; todo cambio genera nueva versión aprobada por dirección.</t>
  </si>
  <si>
    <t xml:space="preserve">Eje de complejidad (HH/t)</t>
  </si>
  <si>
    <t xml:space="preserve">Clase 90 en fila siguiente; VSM E4</t>
  </si>
  <si>
    <t xml:space="preserve">  clase alta</t>
  </si>
  <si>
    <t xml:space="preserve">Crecimiento por fase RSS (verde/ámbar/rojo)</t>
  </si>
  <si>
    <t xml:space="preserve">Tolerancia de cierre por rubro (inv. 16)</t>
  </si>
  <si>
    <t xml:space="preserve">Costo empresa propio ($/HH)</t>
  </si>
  <si>
    <t xml:space="preserve">Subcontrato all-in ($/HH)</t>
  </si>
  <si>
    <t xml:space="preserve">Prima de sobretiempo</t>
  </si>
  <si>
    <t xml:space="preserve">Tarifa all-in resolución de déficit ($/HH)</t>
  </si>
  <si>
    <t xml:space="preserve">Capacidad HH libres de habilitado (HH/sem)</t>
  </si>
  <si>
    <t xml:space="preserve">E1 — Ficha del proyecto</t>
  </si>
  <si>
    <t xml:space="preserve">Proyecto</t>
  </si>
  <si>
    <t xml:space="preserve">Nave industrial — caso de referencia</t>
  </si>
  <si>
    <t xml:space="preserve">Cliente</t>
  </si>
  <si>
    <t xml:space="preserve">Cliente del concurso</t>
  </si>
  <si>
    <t xml:space="preserve">Ubicación</t>
  </si>
  <si>
    <t xml:space="preserve">Parque industrial (nacional)</t>
  </si>
  <si>
    <t xml:space="preserve">Peso de planos (t)</t>
  </si>
  <si>
    <t xml:space="preserve">Clase de complejidad (HH/t)</t>
  </si>
  <si>
    <t xml:space="preserve">Conexión principal</t>
  </si>
  <si>
    <t xml:space="preserve">Apernada A325</t>
  </si>
  <si>
    <t xml:space="preserve">Fase RSS declarada</t>
  </si>
  <si>
    <t xml:space="preserve">Ámbar</t>
  </si>
  <si>
    <t xml:space="preserve">Plazo de montaje</t>
  </si>
  <si>
    <t xml:space="preserve">5 semanas (plan del cliente, E6)</t>
  </si>
  <si>
    <t xml:space="preserve">E2 — Take-off (IFC)</t>
  </si>
  <si>
    <t xml:space="preserve">Peso único AISC 303-22 §9.2 (invariante 1) y doble chequeo (invariante 4).</t>
  </si>
  <si>
    <t xml:space="preserve">Concepto</t>
  </si>
  <si>
    <t xml:space="preserve">Valor</t>
  </si>
  <si>
    <t xml:space="preserve">Unidad</t>
  </si>
  <si>
    <t xml:space="preserve">Nota</t>
  </si>
  <si>
    <t xml:space="preserve">Peso de planos</t>
  </si>
  <si>
    <t xml:space="preserve">t</t>
  </si>
  <si>
    <t xml:space="preserve">Entrada del take-off IFC</t>
  </si>
  <si>
    <t xml:space="preserve">Factor facturable AISC 303-22 §9.2</t>
  </si>
  <si>
    <t xml:space="preserve">Peso facturable</t>
  </si>
  <si>
    <t xml:space="preserve">Desperdicio de la clase</t>
  </si>
  <si>
    <t xml:space="preserve">Acero a comprar</t>
  </si>
  <si>
    <t xml:space="preserve">Factor global (comprar/planos)</t>
  </si>
  <si>
    <t xml:space="preserve">Peso reconstruido (chequeo)</t>
  </si>
  <si>
    <t xml:space="preserve">Doble chequeo del peso</t>
  </si>
  <si>
    <t xml:space="preserve">EXCLUSIONES EXPLÍCITAS (invariante 5)</t>
  </si>
  <si>
    <t xml:space="preserve">Escaleras — EXCLUIDAS (partida con leyenda, nunca cero silencioso)</t>
  </si>
  <si>
    <t xml:space="preserve">Pernos de anclaje F1554 — EXCLUIDOS</t>
  </si>
  <si>
    <t xml:space="preserve">Nelson studs — EXCLUIDOS</t>
  </si>
  <si>
    <t xml:space="preserve">E3 — Precios vigentes de materia prima</t>
  </si>
  <si>
    <t xml:space="preserve">Entrada crítica con vigencia (invariante 8).</t>
  </si>
  <si>
    <t xml:space="preserve">Material</t>
  </si>
  <si>
    <t xml:space="preserve">Precio $/kg</t>
  </si>
  <si>
    <t xml:space="preserve">Fuente</t>
  </si>
  <si>
    <t xml:space="preserve">Fecha</t>
  </si>
  <si>
    <t xml:space="preserve">Vigencia (días)</t>
  </si>
  <si>
    <t xml:space="preserve">Estado</t>
  </si>
  <si>
    <t xml:space="preserve">Perfil W (A992)</t>
  </si>
  <si>
    <t xml:space="preserve">Cotización molino</t>
  </si>
  <si>
    <t xml:space="preserve">2026-07-21</t>
  </si>
  <si>
    <t xml:space="preserve">Placa (A572-50)</t>
  </si>
  <si>
    <t xml:space="preserve">Distribuidor</t>
  </si>
  <si>
    <t xml:space="preserve">2026-07-24</t>
  </si>
  <si>
    <t xml:space="preserve">HSS (A500-C)</t>
  </si>
  <si>
    <t xml:space="preserve">2026-07-18</t>
  </si>
  <si>
    <t xml:space="preserve">Soldadura FCAW E71T-1</t>
  </si>
  <si>
    <t xml:space="preserve">Proveedor</t>
  </si>
  <si>
    <t xml:space="preserve">2026-07-15</t>
  </si>
  <si>
    <t xml:space="preserve">Precio promedio ponderado del caso</t>
  </si>
  <si>
    <t xml:space="preserve">La confirmación explícita de estos precios antes de emitir vive en la hoja Bitacora_Precios (invariante 8, v1.7).</t>
  </si>
  <si>
    <t xml:space="preserve">E4 — Planta / VSM</t>
  </si>
  <si>
    <t xml:space="preserve">HH/t de la clase del proyecto</t>
  </si>
  <si>
    <t xml:space="preserve">Eje único de complejidad (invariante 2)</t>
  </si>
  <si>
    <t xml:space="preserve">Velocidad base de montaje (t/sem)</t>
  </si>
  <si>
    <t xml:space="preserve">Capacidad propia</t>
  </si>
  <si>
    <t xml:space="preserve">Velocidad con sobretiempo (t/sem)</t>
  </si>
  <si>
    <t xml:space="preserve">Base + OT prima 50%</t>
  </si>
  <si>
    <t xml:space="preserve">Cuello de botella</t>
  </si>
  <si>
    <t xml:space="preserve">Soldadura FCAW</t>
  </si>
  <si>
    <t xml:space="preserve">Según VSM</t>
  </si>
  <si>
    <t xml:space="preserve">Ahorro Lean verificable (HH/t)</t>
  </si>
  <si>
    <t xml:space="preserve">8.4%</t>
  </si>
  <si>
    <t xml:space="preserve">Ver hoja LEAN</t>
  </si>
  <si>
    <t xml:space="preserve">E5 — Datos financieros (costo empresa)</t>
  </si>
  <si>
    <t xml:space="preserve">Invariante 15: $/HH desde datos reales; todo ANTES de impuestos.</t>
  </si>
  <si>
    <t xml:space="preserve">Nómina + prestaciones + sindicato/CCT; tolerancia 2% vs contabilidad</t>
  </si>
  <si>
    <t xml:space="preserve">Incluye supervisión y consumibles</t>
  </si>
  <si>
    <t xml:space="preserve">Cargas de planta ($/HH equivalente)</t>
  </si>
  <si>
    <t xml:space="preserve">Cargas fijas prorrateadas</t>
  </si>
  <si>
    <t xml:space="preserve">Overhead disponible ($/HH equivalente)</t>
  </si>
  <si>
    <t xml:space="preserve">Overhead que absorbe el programa</t>
  </si>
  <si>
    <t xml:space="preserve">Chequeo: overhead cubre cargas</t>
  </si>
  <si>
    <t xml:space="preserve">E6 — Especificaciones, formato y plan de montaje</t>
  </si>
  <si>
    <t xml:space="preserve">Invariante 10: el concurso RIGE sobre la norma. Invariante 11: el plan de montaje es ENTRADA.</t>
  </si>
  <si>
    <t xml:space="preserve">Registro de desviaciones concurso vs norma</t>
  </si>
  <si>
    <t xml:space="preserve">Norma</t>
  </si>
  <si>
    <t xml:space="preserve">Concurso</t>
  </si>
  <si>
    <t xml:space="preserve">Rige</t>
  </si>
  <si>
    <t xml:space="preserve">Impacto $</t>
  </si>
  <si>
    <t xml:space="preserve">NDT en soldadura de taller</t>
  </si>
  <si>
    <t xml:space="preserve">Visual 100%</t>
  </si>
  <si>
    <t xml:space="preserve">UT 20% adicional</t>
  </si>
  <si>
    <t xml:space="preserve">Sistema de recubrimiento</t>
  </si>
  <si>
    <t xml:space="preserve">SSPC-SP6 + 1 capa</t>
  </si>
  <si>
    <t xml:space="preserve">SP10 + 2 capas</t>
  </si>
  <si>
    <t xml:space="preserve">Tolerancia de contraflecha</t>
  </si>
  <si>
    <t xml:space="preserve">AISC 303 estándar</t>
  </si>
  <si>
    <t xml:space="preserve">Estrecha (75%)</t>
  </si>
  <si>
    <t xml:space="preserve">Costo de desviaciones (entra al presupuesto)</t>
  </si>
  <si>
    <t xml:space="preserve">Plan de montaje del cliente (t/sem exigidas)</t>
  </si>
  <si>
    <t xml:space="preserve">Semana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</si>
  <si>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</si>
  <si>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</si>
  <si>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</si>
  <si>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</si>
  <si>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</si>
  <si>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t/sem plan</t>
  </si>
  <si>
    <t xml:space="preserve">E7 — Carga de planta, inventario y cierres</t>
  </si>
  <si>
    <t xml:space="preserve">Invariante 13 (inventario primero) e invariante 16 (registro de cierres).</t>
  </si>
  <si>
    <t xml:space="preserve">Carga de proyectos EN CURSO (HH/sem)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</si>
  <si>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</si>
  <si>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</si>
  <si>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</si>
  <si>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</si>
  <si>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</si>
  <si>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San Antonio Abad</t>
  </si>
  <si>
    <t xml:space="preserve">Chabacano</t>
  </si>
  <si>
    <t xml:space="preserve">World Park El Salto</t>
  </si>
  <si>
    <t xml:space="preserve">Total en curso</t>
  </si>
  <si>
    <t xml:space="preserve">Inventario de materia prima (t)</t>
  </si>
  <si>
    <t xml:space="preserve">Disponible</t>
  </si>
  <si>
    <t xml:space="preserve">Asignado</t>
  </si>
  <si>
    <t xml:space="preserve">LIBRE</t>
  </si>
  <si>
    <t xml:space="preserve">Acero estructural</t>
  </si>
  <si>
    <t xml:space="preserve">Libre aplicable al proyecto: 34.00 t (61−27). Préstamos entre contratos: siempre registrados.</t>
  </si>
  <si>
    <t xml:space="preserve">Registro de cierres de proyecto (inv. 16)</t>
  </si>
  <si>
    <t xml:space="preserve">Ver hoja Cierre_Proyecto</t>
  </si>
  <si>
    <t xml:space="preserve">S1 — Boom (explosión de materiales)</t>
  </si>
  <si>
    <t xml:space="preserve">Familia de perfil</t>
  </si>
  <si>
    <t xml:space="preserve">Facturable (t)</t>
  </si>
  <si>
    <t xml:space="preserve">Participación</t>
  </si>
  <si>
    <t xml:space="preserve">Perfiles W</t>
  </si>
  <si>
    <t xml:space="preserve">Placa</t>
  </si>
  <si>
    <t xml:space="preserve">HSS</t>
  </si>
  <si>
    <t xml:space="preserve">Conexiones y misceláneos</t>
  </si>
  <si>
    <t xml:space="preserve">Total facturable</t>
  </si>
  <si>
    <t xml:space="preserve">Chequeo vs E2</t>
  </si>
  <si>
    <t xml:space="preserve">S2 — APU método AISC (composición única, invariante 6)</t>
  </si>
  <si>
    <t xml:space="preserve">Partida</t>
  </si>
  <si>
    <t xml:space="preserve">Importe</t>
  </si>
  <si>
    <t xml:space="preserve">Base</t>
  </si>
  <si>
    <t xml:space="preserve">Material de acero</t>
  </si>
  <si>
    <t xml:space="preserve">121.25 t × $25.00/kg (E2 × E3)</t>
  </si>
  <si>
    <t xml:space="preserve">Consumibles de soldadura y abrasivos</t>
  </si>
  <si>
    <t xml:space="preserve">MO fabricación (propia)</t>
  </si>
  <si>
    <t xml:space="preserve">4,000 HH × 122.79 $/HH (E2 × E4 × E5)</t>
  </si>
  <si>
    <t xml:space="preserve">MO subcontrato pico de velocidad</t>
  </si>
  <si>
    <t xml:space="preserve">560 HH × 164.85 $/HH (S11 × E5)</t>
  </si>
  <si>
    <t xml:space="preserve">Recubrimiento SSPC (incl. desviación concurso)</t>
  </si>
  <si>
    <t xml:space="preserve">Fletes y maniobras</t>
  </si>
  <si>
    <t xml:space="preserve">Indirectos y overhead de planta</t>
  </si>
  <si>
    <t xml:space="preserve">Supervisión, QC y dossier</t>
  </si>
  <si>
    <t xml:space="preserve">Margen</t>
  </si>
  <si>
    <t xml:space="preserve">APU AISC — TOTAL</t>
  </si>
  <si>
    <t xml:space="preserve">$/kg sobre facturable</t>
  </si>
  <si>
    <t xml:space="preserve">S3 — Método por partidas "Más 6%"</t>
  </si>
  <si>
    <t xml:space="preserve">Invariante 6 (v1.7): % de crecimiento atado al semáforo RSS; aquí FIJADO en 6% (registrado).</t>
  </si>
  <si>
    <t xml:space="preserve">Fase RSS vigente</t>
  </si>
  <si>
    <t xml:space="preserve">Ver S10_Checklist_RSS; defecto de la fase: 10%</t>
  </si>
  <si>
    <t xml:space="preserve">% de crecimiento APLICADO</t>
  </si>
  <si>
    <t xml:space="preserve">Peso propuesto (planos + crecimiento)</t>
  </si>
  <si>
    <t xml:space="preserve">Partida por perfil (doble MO prefab+fab)</t>
  </si>
  <si>
    <t xml:space="preserve">Misceláneos</t>
  </si>
  <si>
    <t xml:space="preserve">Subtotal por perfil</t>
  </si>
  <si>
    <t xml:space="preserve">Partidas generales</t>
  </si>
  <si>
    <t xml:space="preserve">Más 6% — TOTAL</t>
  </si>
  <si>
    <t xml:space="preserve">A margen comparable (21%)</t>
  </si>
  <si>
    <t xml:space="preserve">Reconciliación vs APU</t>
  </si>
  <si>
    <t xml:space="preserve">Criterio (&lt;1%)</t>
  </si>
  <si>
    <t xml:space="preserve">S11 — Doble chequeo de velocidad (invariante 12)</t>
  </si>
  <si>
    <t xml:space="preserve">Chequeo 1: velocidad del montaje</t>
  </si>
  <si>
    <t xml:space="preserve">Pico del plan de montaje (t/sem)</t>
  </si>
  <si>
    <t xml:space="preserve">Velocidad base / con OT (t/sem)</t>
  </si>
  <si>
    <t xml:space="preserve">Excedente sobre OT (t/sem)</t>
  </si>
  <si>
    <t xml:space="preserve">alerta_subcontrato (HH)</t>
  </si>
  <si>
    <t xml:space="preserve">Chequeo 2: planta vs punto de equilibrio</t>
  </si>
  <si>
    <t xml:space="preserve">Volumen total de planta (t/mes)</t>
  </si>
  <si>
    <t xml:space="preserve">Punto de equilibrio (t/mes)</t>
  </si>
  <si>
    <t xml:space="preserve">Equilibrio con Lean (t/mes)</t>
  </si>
  <si>
    <t xml:space="preserve">Déficit vs equilibrio / vs Lean (t)</t>
  </si>
  <si>
    <t xml:space="preserve">advertencia_bajo_equilibrio</t>
  </si>
  <si>
    <t xml:space="preserve">S4 — Tres opciones de oferta</t>
  </si>
  <si>
    <t xml:space="preserve">Difieren en supuestos, no en fórmula (invariante 6).</t>
  </si>
  <si>
    <t xml:space="preserve">Opción</t>
  </si>
  <si>
    <t xml:space="preserve">Precio</t>
  </si>
  <si>
    <t xml:space="preserve">Supuesto diferencial</t>
  </si>
  <si>
    <t xml:space="preserve">Opción 1 — Base</t>
  </si>
  <si>
    <t xml:space="preserve">Programa del plan; déficit resuelto según S12 (B*)</t>
  </si>
  <si>
    <t xml:space="preserve">Opción 2 — Programa garantizado</t>
  </si>
  <si>
    <t xml:space="preserve">Incluye el costo de optimización B* dentro del precio</t>
  </si>
  <si>
    <t xml:space="preserve">Opción 3 — Grúa resuelta</t>
  </si>
  <si>
    <t xml:space="preserve">Incluye partir 2 piezas críticas ($76,000, valida EOR)</t>
  </si>
  <si>
    <t xml:space="preserve">S5 — Flujo de caja del programa</t>
  </si>
  <si>
    <t xml:space="preserve">Mes 0</t>
  </si>
  <si>
    <t xml:space="preserve">Mes 1</t>
  </si>
  <si>
    <t xml:space="preserve">Mes 2</t>
  </si>
  <si>
    <t xml:space="preserve">Mes 3</t>
  </si>
  <si>
    <t xml:space="preserve">Mes 4</t>
  </si>
  <si>
    <t xml:space="preserve">Total</t>
  </si>
  <si>
    <t xml:space="preserve">Cobros (anticipo 30% + estimaciones)</t>
  </si>
  <si>
    <t xml:space="preserve">Pagos (acero, MO, indirectos)</t>
  </si>
  <si>
    <t xml:space="preserve">Flujo neto</t>
  </si>
  <si>
    <t xml:space="preserve">Costo financiero del programa</t>
  </si>
  <si>
    <t xml:space="preserve">S6 — Capítulo financiero y precio de licitación</t>
  </si>
  <si>
    <t xml:space="preserve">APU AISC</t>
  </si>
  <si>
    <t xml:space="preserve">Capítulo financiero</t>
  </si>
  <si>
    <t xml:space="preserve">Ajuste de redondeo del caso</t>
  </si>
  <si>
    <t xml:space="preserve">PRECIO DE LICITACIÓN</t>
  </si>
  <si>
    <t xml:space="preserve">$/kg de licitación</t>
  </si>
  <si>
    <t xml:space="preserve">Compuerta de emisión (invariante 8 v1.7)</t>
  </si>
  <si>
    <t xml:space="preserve">LEYENDA DE ALCANCE: Este es el mejor precio calculable bajo las condiciones e información actuales de la compañía (planta, inventario, costos y precios confirmados a la fecha) y lo que exige la oferta. No es predicción del precio ganador; margen final y firma son de la dirección.</t>
  </si>
  <si>
    <t xml:space="preserve">S7 — Requisición neta (inventario primero, invariante 13)</t>
  </si>
  <si>
    <t xml:space="preserve">Acero a comprar (E2)</t>
  </si>
  <si>
    <t xml:space="preserve">Redondeo comercial a largos</t>
  </si>
  <si>
    <t xml:space="preserve">Requisición bruta</t>
  </si>
  <si>
    <t xml:space="preserve">Inventario LIBRE aplicable (E7)</t>
  </si>
  <si>
    <t xml:space="preserve">NETO A COMPRAR</t>
  </si>
  <si>
    <t xml:space="preserve">Préstamos entre contratos: siempre registrados en E7.</t>
  </si>
  <si>
    <t xml:space="preserve">S8 — Secuencia por montaje y chequeo de grúa</t>
  </si>
  <si>
    <t xml:space="preserve">Secuencia de fabricación = secuencia del plan de montaje (E6); lotes en S9.</t>
  </si>
  <si>
    <t xml:space="preserve">Pieza crítica</t>
  </si>
  <si>
    <t xml:space="preserve">Peso (t)</t>
  </si>
  <si>
    <t xml:space="preserve">Costo de partir</t>
  </si>
  <si>
    <t xml:space="preserve">Marco M-12</t>
  </si>
  <si>
    <t xml:space="preserve">Excede capacidad de grúa en radio de montaje</t>
  </si>
  <si>
    <t xml:space="preserve">Trabe TP-4</t>
  </si>
  <si>
    <t xml:space="preserve">Ídem</t>
  </si>
  <si>
    <t xml:space="preserve">Total partir piezas críticas</t>
  </si>
  <si>
    <t xml:space="preserve">S9 — Lotes con balance de capacidad (invariante 11)</t>
  </si>
  <si>
    <t xml:space="preserve">HH requeridas por lote</t>
  </si>
  <si>
    <t xml:space="preserve">HH libres de planta (E7)</t>
  </si>
  <si>
    <t xml:space="preserve">Déficit (HH)</t>
  </si>
  <si>
    <t xml:space="preserve">Déficit Semana 2</t>
  </si>
  <si>
    <t xml:space="preserve">Costo si se resuelve a fuerza (esc. A)</t>
  </si>
  <si>
    <t xml:space="preserve">S10 — Checklist e incertidumbre RSS (invariante 7)</t>
  </si>
  <si>
    <t xml:space="preserve">Componente de incertidumbre</t>
  </si>
  <si>
    <t xml:space="preserve">±%</t>
  </si>
  <si>
    <t xml:space="preserve">Precio de material</t>
  </si>
  <si>
    <t xml:space="preserve">Mano de obra / productividad</t>
  </si>
  <si>
    <t xml:space="preserve">Montaje y velocidad</t>
  </si>
  <si>
    <t xml:space="preserve">Desviaciones de concurso</t>
  </si>
  <si>
    <t xml:space="preserve">Financiero</t>
  </si>
  <si>
    <t xml:space="preserve">Otros</t>
  </si>
  <si>
    <t xml:space="preserve">RSS (raíz de suma de cuadrados)</t>
  </si>
  <si>
    <t xml:space="preserve">Semáforo (fase)</t>
  </si>
  <si>
    <t xml:space="preserve">Checklist de emisión (rúbrica, extracto)</t>
  </si>
  <si>
    <t xml:space="preserve">Peso único y doble chequeo — OK</t>
  </si>
  <si>
    <t xml:space="preserve">Exclusiones explícitas — OK</t>
  </si>
  <si>
    <t xml:space="preserve">Desviaciones con costo — OK</t>
  </si>
  <si>
    <t xml:space="preserve">Déficit explícito — OK</t>
  </si>
  <si>
    <t xml:space="preserve">Precios confirmados (Bitacora) — OK</t>
  </si>
  <si>
    <t xml:space="preserve">Leyenda de alcance — OK</t>
  </si>
  <si>
    <t xml:space="preserve">S12 — Decisión de programa optimizada (invariante 14)</t>
  </si>
  <si>
    <t xml:space="preserve">Carga combinada en HH y t/sem con % de ocupación de habilitado; alerta ≥100%.</t>
  </si>
  <si>
    <t xml:space="preserve">t/sem</t>
  </si>
  <si>
    <t xml:space="preserve">Proyectos en curso</t>
  </si>
  <si>
    <t xml:space="preserve">Proyecto nuevo</t>
  </si>
  <si>
    <t xml:space="preserve">Carga combinada (t/sem)</t>
  </si>
  <si>
    <t xml:space="preserve">Habilitado (HH)</t>
  </si>
  <si>
    <t xml:space="preserve">HH requeridas</t>
  </si>
  <si>
    <t xml:space="preserve">Capacidad (HH/sem)</t>
  </si>
  <si>
    <t xml:space="preserve">% ocupación de habilitado</t>
  </si>
  <si>
    <t xml:space="preserve">Límite</t>
  </si>
  <si>
    <t xml:space="preserve">Alerta ≥100%</t>
  </si>
  <si>
    <t xml:space="preserve">Optimización B* (minimizar tiempo y costo del retraso)</t>
  </si>
  <si>
    <t xml:space="preserve">Sobretiempo aplicado (HH)</t>
  </si>
  <si>
    <t xml:space="preserve">HH a desplazar (excedente)</t>
  </si>
  <si>
    <t xml:space="preserve">Retraso mínimo (semanas)</t>
  </si>
  <si>
    <t xml:space="preserve">Costo del escenario B*</t>
  </si>
  <si>
    <t xml:space="preserve">Pena máxima soportable</t>
  </si>
  <si>
    <t xml:space="preserve">Escenario</t>
  </si>
  <si>
    <t xml:space="preserve">Costo</t>
  </si>
  <si>
    <t xml:space="preserve">Utilidad</t>
  </si>
  <si>
    <t xml:space="preserve">Utilidad sin costo de resolución</t>
  </si>
  <si>
    <t xml:space="preserve">A — fuerza bruta</t>
  </si>
  <si>
    <t xml:space="preserve">B — mezcla estándar</t>
  </si>
  <si>
    <t xml:space="preserve">B* — optimizado</t>
  </si>
  <si>
    <t xml:space="preserve">C — no entrar</t>
  </si>
  <si>
    <t xml:space="preserve">Nunca se recomienda bajo equilibrio</t>
  </si>
  <si>
    <t xml:space="preserve">RECOMENDACIÓN</t>
  </si>
  <si>
    <t xml:space="preserve">escenario_b_optimizado</t>
  </si>
  <si>
    <t xml:space="preserve">ADVERTENCIA OBLIGATORIA: comunicar y acordar el retraso de 1 semana con el cliente del proyecto afectado ANTES de comprometer el nuevo contrato (sin acuerdo → Escenario A). Registrar la reprogramación en E7.</t>
  </si>
  <si>
    <t xml:space="preserve">LEAN — Métrica única de eficiencia (invariante 9)</t>
  </si>
  <si>
    <t xml:space="preserve">Costo base de transformación del caso</t>
  </si>
  <si>
    <t xml:space="preserve">Ahorro Lean verificable</t>
  </si>
  <si>
    <t xml:space="preserve">Ahorro Lean ($)</t>
  </si>
  <si>
    <t xml:space="preserve">Gainsharing</t>
  </si>
  <si>
    <t xml:space="preserve">La misma métrica (ahorro HH/ton) alimenta motor y gainsharing; el personal participa del ahorro VERIFICADO, no del estimado. Se audita en el cierre (inv. 16).</t>
  </si>
  <si>
    <t xml:space="preserve">Rentabilidad de planta</t>
  </si>
  <si>
    <t xml:space="preserve">Volumen contratado (t/mes)</t>
  </si>
  <si>
    <t xml:space="preserve">El escenario C (no entrar) nunca se recomienda con la planta bajo equilibrio (inv. 14).</t>
  </si>
  <si>
    <t xml:space="preserve">Evidencia</t>
  </si>
  <si>
    <t xml:space="preserve">Caso Lean 30%</t>
  </si>
  <si>
    <t xml:space="preserve">Caso documentado en proyecto específico; se comunica como evidencia, nunca como garantía (promesa conservadora 8–13%).</t>
  </si>
  <si>
    <t xml:space="preserve">Reconciliación de métodos</t>
  </si>
  <si>
    <t xml:space="preserve">APU vs Más 6% a margen comparable: 0.57% (&lt;1%).</t>
  </si>
  <si>
    <t xml:space="preserve">Golden test</t>
  </si>
  <si>
    <t xml:space="preserve">Todos los valores de este libro reproducen el caso de referencia del documento rector v1.7.</t>
  </si>
  <si>
    <t xml:space="preserve">Bitácora de precios</t>
  </si>
  <si>
    <t xml:space="preserve">Confirmación registrada en Bitacora_Precios; ver invariante 8.</t>
  </si>
  <si>
    <t xml:space="preserve">VE — Ingeniería de valor</t>
  </si>
  <si>
    <t xml:space="preserve">Propuestas NO incluidas en el precio; se ofrecen por separado.</t>
  </si>
  <si>
    <t xml:space="preserve">Propuesta</t>
  </si>
  <si>
    <t xml:space="preserve">Ahorro potencial</t>
  </si>
  <si>
    <t xml:space="preserve">Optimizar familia de perfiles W (sustitución por sección eficiente)</t>
  </si>
  <si>
    <t xml:space="preserve">Propuesta — requiere aprobación del EOR/cliente</t>
  </si>
  <si>
    <t xml:space="preserve">Conexión alternativa en marcos secundarios</t>
  </si>
  <si>
    <t xml:space="preserve">Recubrimiento por zonas de exposición</t>
  </si>
  <si>
    <t xml:space="preserve">Total potencial</t>
  </si>
  <si>
    <t xml:space="preserve">Bitácora — confirmar_precios_mp (invariante 8, v1.7)</t>
  </si>
  <si>
    <t xml:space="preserve">Sin confirmación explícita registrada NO se emite precio de licitación. La confirmación queda ligada a la oferta.</t>
  </si>
  <si>
    <t xml:space="preserve">Vigencia (d)</t>
  </si>
  <si>
    <t xml:space="preserve">Confirmado</t>
  </si>
  <si>
    <t xml:space="preserve">Por</t>
  </si>
  <si>
    <t xml:space="preserve">SÍ</t>
  </si>
  <si>
    <t xml:space="preserve">Dirección</t>
  </si>
  <si>
    <t xml:space="preserve">Fecha de confirmación</t>
  </si>
  <si>
    <t xml:space="preserve">2026-08-01</t>
  </si>
  <si>
    <t xml:space="preserve">Referencia de oferta</t>
  </si>
  <si>
    <t xml:space="preserve">OF-2026-014</t>
  </si>
  <si>
    <t xml:space="preserve">ESTADO DE EMISIÓN</t>
  </si>
  <si>
    <t xml:space="preserve">alerta_interferencia_familias (invariante 3, v1.7)</t>
  </si>
  <si>
    <t xml:space="preserve">Se emite cuando una familia de HH altas satura habilitado y reduce la productividad de familias más rentables. Nunca se suprime.</t>
  </si>
  <si>
    <t xml:space="preserve">Estado en este proyecto</t>
  </si>
  <si>
    <t xml:space="preserve">NO_APLICA — una sola familia/clase (40 HH/t)</t>
  </si>
  <si>
    <t xml:space="preserve">Estructura de la alerta (EJEMPLO ilustrativo, no es este proyecto)</t>
  </si>
  <si>
    <t xml:space="preserve">Familias involucradas</t>
  </si>
  <si>
    <t xml:space="preserve">Misceláneos (90 HH/t)</t>
  </si>
  <si>
    <t xml:space="preserve">Armaduras (24 HH/t)</t>
  </si>
  <si>
    <t xml:space="preserve">Tonelaje</t>
  </si>
  <si>
    <t xml:space="preserve">80 t</t>
  </si>
  <si>
    <t xml:space="preserve">320 t</t>
  </si>
  <si>
    <t xml:space="preserve">HH en conflicto</t>
  </si>
  <si>
    <t xml:space="preserve">210 HH/sem (Sem 3–5)</t>
  </si>
  <si>
    <t xml:space="preserve">Rentabilidad relativa</t>
  </si>
  <si>
    <t xml:space="preserve">$31/HH de margen</t>
  </si>
  <si>
    <t xml:space="preserve">$58/HH de margen</t>
  </si>
  <si>
    <t xml:space="preserve">Impacto estimado</t>
  </si>
  <si>
    <t xml:space="preserve">Armaduras −12% productividad → 380 HH extra</t>
  </si>
  <si>
    <t xml:space="preserve">Opciones (decide dirección)</t>
  </si>
  <si>
    <t xml:space="preserve">Repriorizar · partir lote · subcontratar misceláneos · aceptar impacto documentado</t>
  </si>
  <si>
    <t xml:space="preserve">La IA propone opciones con su costo; la dirección dispone. La alerta viaja con la oferta.</t>
  </si>
  <si>
    <t xml:space="preserve">Cierre de proyecto — invariante 16 (v1.7)</t>
  </si>
  <si>
    <t xml:space="preserve">Llenar al concluir. Desviación &gt; ±5% genera propuesta de recalibración; aprueba dirección; todo cambio = nueva versión de parámetros.</t>
  </si>
  <si>
    <t xml:space="preserve">Estado de este proyecto</t>
  </si>
  <si>
    <t xml:space="preserve">PENDIENTE DE CIERRE</t>
  </si>
  <si>
    <t xml:space="preserve">Sin cierre registrado, los datos NO alimentan recalibraciones.</t>
  </si>
  <si>
    <t xml:space="preserve">Celdas amarillas = llenar al cierre. La fila marcada EJEMPLO muestra el formato esperado.</t>
  </si>
  <si>
    <t xml:space="preserve">Rubro</t>
  </si>
  <si>
    <t xml:space="preserve">Presupuestado</t>
  </si>
  <si>
    <t xml:space="preserve">Real</t>
  </si>
  <si>
    <t xml:space="preserve">Desv. %</t>
  </si>
  <si>
    <t xml:space="preserve">Costo total</t>
  </si>
  <si>
    <t xml:space="preserve">HH por familia (total)</t>
  </si>
  <si>
    <t xml:space="preserve">HH/ton efectivas</t>
  </si>
  <si>
    <t xml:space="preserve">Desperdicio</t>
  </si>
  <si>
    <t xml:space="preserve">Peso final de taller (t)</t>
  </si>
  <si>
    <t xml:space="preserve">Acero pagado ($/kg prom.)</t>
  </si>
  <si>
    <t xml:space="preserve">Costo de montaje</t>
  </si>
  <si>
    <t xml:space="preserve">Desviaciones de concurso ($)</t>
  </si>
  <si>
    <t xml:space="preserve">EJEMPLO — HH/ton efectivas (otro proyecto)</t>
  </si>
  <si>
    <t xml:space="preserve">Desv. +7.8% &gt; 5% → generó propuesta: clase 40 → 43 HH/t (evidencia: 3 proyectos). Aprobación: dirección. Nueva versión: v2026.2.</t>
  </si>
  <si>
    <t xml:space="preserve">Propuesta de recalibración</t>
  </si>
  <si>
    <t xml:space="preserve">Los parámetros NUNCA se recalibran solos (versionado en Parametros_Version).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</si>
</sst>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#,##0.00"/>
    <numFmt numFmtId="168" formatCode="0.0000"/>
    <numFmt numFmtId="169" formatCode="0.0000%"/>
    <numFmt numFmtId="170" formatCode="\$#,##0"/>
    <numFmt numFmtId="171" formatCode="0.0%"/>
    <numFmt numFmtId="172" formatCode="\$#,##0.00"/>
    <numFmt numFmtId="173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B5C"/>
      <name val="Arial"/>
      <family val="0"/>
      <charset val="1"/>
    </font>
    <font>
      <i val="true"/>
      <sz val="8"/>
      <color rgb="FF5A6B7A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DF3E1"/>
        <bgColor rgb="FFEEF2F6"/>
      </patternFill>
    </fill>
    <fill>
      <patternFill patternType="solid">
        <fgColor rgb="FFFFFF00"/>
        <bgColor rgb="FFFFFF00"/>
      </patternFill>
    </fill>
    <fill>
      <patternFill patternType="solid">
        <fgColor rgb="FF1F3B5C"/>
        <bgColor rgb="FF333333"/>
      </patternFill>
    </fill>
    <fill>
      <patternFill patternType="solid">
        <fgColor rgb="FFEEF2F6"/>
        <bgColor rgb="FFFDF3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/>
      <top style="thin">
        <color rgb="FFC9D3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DF3E1"/>
      <rgbColor rgb="FFEEF2F6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B7A"/>
      <rgbColor rgb="FF969696"/>
      <rgbColor rgb="FF1F3B5C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combinada (t/sem): en curso + nuevo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S12_Programa!A5</c:f>
              <c:strCache>
                <c:ptCount val="1"/>
                <c:pt idx="0">
                  <c:v>Proyectos en curso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S12_Programa!$B$4:$F$4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S12_Programa!$B$5:$F$5</c:f>
              <c:numCache>
                <c:formatCode>#,##0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38</c:v>
                </c:pt>
                <c:pt idx="3">
                  <c:v>42</c:v>
                </c:pt>
                <c:pt idx="4">
                  <c:v>45</c:v>
                </c:pt>
              </c:numCache>
            </c:numRef>
          </c:val>
        </c:ser>
        <c:ser>
          <c:idx val="1"/>
          <c:order val="1"/>
          <c:tx>
            <c:strRef>
              <c:f>S12_Programa!A6</c:f>
              <c:strCache>
                <c:ptCount val="1"/>
                <c:pt idx="0">
                  <c:v>Proyecto nuevo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S12_Programa!$B$4:$F$4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S12_Programa!$B$6:$F$6</c:f>
              <c:numCache>
                <c:formatCode>#,##0</c:formatCode>
                <c:ptCount val="5"/>
                <c:pt idx="0">
                  <c:v>27</c:v>
                </c:pt>
                <c:pt idx="1">
                  <c:v>38</c:v>
                </c:pt>
                <c:pt idx="2">
                  <c:v>22</c:v>
                </c:pt>
                <c:pt idx="3">
                  <c:v>28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60657415"/>
        <c:axId val="95744893"/>
      </c:barChart>
      <c:catAx>
        <c:axId val="60657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44893"/>
        <c:crosses val="autoZero"/>
        <c:auto val="1"/>
        <c:lblAlgn val="ctr"/>
        <c:lblOffset val="100"/>
        <c:noMultiLvlLbl val="0"/>
      </c:catAx>
      <c:valAx>
        <c:axId val="95744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57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Ocupación de habilitado vs límite 100%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S12_Programa!A12</c:f>
              <c:strCache>
                <c:ptCount val="1"/>
                <c:pt idx="0">
                  <c:v>% ocupación de habilitado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S12_Programa!$B$9:$F$9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S12_Programa!$B$12:$F$12</c:f>
              <c:numCache>
                <c:formatCode>0%</c:formatCode>
                <c:ptCount val="5"/>
                <c:pt idx="0">
                  <c:v>0.89</c:v>
                </c:pt>
                <c:pt idx="1">
                  <c:v>1.11</c:v>
                </c:pt>
                <c:pt idx="2">
                  <c:v>0.8</c:v>
                </c:pt>
                <c:pt idx="3">
                  <c:v>0.93</c:v>
                </c:pt>
                <c:pt idx="4">
                  <c:v>0.6</c:v>
                </c:pt>
              </c:numCache>
            </c:numRef>
          </c:val>
        </c:ser>
        <c:gapWidth val="150"/>
        <c:overlap val="0"/>
        <c:axId val="4744462"/>
        <c:axId val="15795327"/>
      </c:barChart>
      <c:lineChart>
        <c:grouping val="standard"/>
        <c:varyColors val="0"/>
        <c:ser>
          <c:idx val="1"/>
          <c:order val="1"/>
          <c:tx>
            <c:strRef>
              <c:f>S12_Programa!A13</c:f>
              <c:strCache>
                <c:ptCount val="1"/>
                <c:pt idx="0">
                  <c:v>Límite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S12_Programa!$B$9:$F$9</c:f>
              <c:strCache>
                <c:ptCount val="5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</c:strCache>
            </c:strRef>
          </c:cat>
          <c:val>
            <c:numRef>
              <c:f>S12_Programa!$B$13:$F$13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44462"/>
        <c:axId val="15795327"/>
      </c:lineChart>
      <c:catAx>
        <c:axId val="4744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95327"/>
        <c:crosses val="autoZero"/>
        <c:auto val="1"/>
        <c:lblAlgn val="ctr"/>
        <c:lblOffset val="100"/>
        <c:noMultiLvlLbl val="0"/>
      </c:catAx>
      <c:valAx>
        <c:axId val="15795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4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176040</xdr:rowOff>
    </xdr:from>
    <xdr:to>
      <xdr:col>11</xdr:col>
      <xdr:colOff>322560</xdr:colOff>
      <xdr:row>17</xdr:row>
      <xdr:rowOff>18360</xdr:rowOff>
    </xdr:to>
    <xdr:graphicFrame>
      <xdr:nvGraphicFramePr>
        <xdr:cNvPr id="0" name="Chart 1"/>
        <xdr:cNvGraphicFramePr/>
      </xdr:nvGraphicFramePr>
      <xdr:xfrm>
        <a:off x="8035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175680</xdr:rowOff>
    </xdr:from>
    <xdr:to>
      <xdr:col>11</xdr:col>
      <xdr:colOff>322560</xdr:colOff>
      <xdr:row>33</xdr:row>
      <xdr:rowOff>18000</xdr:rowOff>
    </xdr:to>
    <xdr:graphicFrame>
      <xdr:nvGraphicFramePr>
        <xdr:cNvPr id="1" name="Chart 2"/>
        <xdr:cNvGraphicFramePr/>
      </xdr:nvGraphicFramePr>
      <xdr:xfrm>
        <a:off x="80352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9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0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1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2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3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4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5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6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1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</row>
    <row r="6" customFormat="false" ht="15" hidden="false" customHeight="false" outlineLevel="0" collapsed="false">
      <c r="A6" s="4"/>
      <c r="B6" s="4"/>
    </row>
    <row r="7" customFormat="false" ht="15" hidden="false" customHeight="false" outlineLevel="0" collapsed="false">
      <c r="A7" s="4"/>
      <c r="B7" s="4"/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6" t="s">
        <v>5</v>
      </c>
    </row>
    <row r="11" customFormat="false" ht="15" hidden="false" customHeight="false" outlineLevel="0" collapsed="false">
      <c r="A11" s="7" t="s">
        <v>6</v>
      </c>
    </row>
    <row r="12" customFormat="false" ht="15" hidden="false" customHeight="false" outlineLevel="0" collapsed="false">
      <c r="A12" s="8" t="s">
        <v>7</v>
      </c>
    </row>
    <row r="13" customFormat="false" ht="15" hidden="false" customHeight="false" outlineLevel="0" collapsed="false">
      <c r="A13" s="9" t="s">
        <v>8</v>
      </c>
    </row>
    <row r="15" customFormat="false" ht="15" hidden="false" customHeight="false" outlineLevel="0" collapsed="false">
      <c r="A15" s="5" t="s">
        <v>9</v>
      </c>
    </row>
    <row r="16" customFormat="false" ht="15" hidden="false" customHeight="false" outlineLevel="0" collapsed="false">
      <c r="A16" s="7" t="s">
        <v>10</v>
      </c>
      <c r="B16" s="7"/>
    </row>
    <row r="17" customFormat="false" ht="15" hidden="false" customHeight="false" outlineLevel="0" collapsed="false">
      <c r="A17" s="7" t="s">
        <v>11</v>
      </c>
      <c r="B17" s="7"/>
    </row>
    <row r="18" customFormat="false" ht="15" hidden="false" customHeight="false" outlineLevel="0" collapsed="false">
      <c r="A18" s="7" t="s">
        <v>12</v>
      </c>
      <c r="B18" s="7"/>
    </row>
    <row r="19" customFormat="false" ht="15" hidden="false" customHeight="false" outlineLevel="0" collapsed="false">
      <c r="A19" s="7" t="s">
        <v>13</v>
      </c>
      <c r="B19" s="7"/>
    </row>
    <row r="21" customFormat="false" ht="28.35" hidden="false" customHeight="false" outlineLevel="0" collapsed="false">
      <c r="A21" s="10" t="s">
        <v>14</v>
      </c>
    </row>
  </sheetData>
  <mergeCells count="5">
    <mergeCell ref="A5:B7"/>
    <mergeCell ref="A16:B16"/>
    <mergeCell ref="A17:B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7" t="s">
        <v>17</v>
      </c>
      <c r="B4" s="11" t="n">
        <v>24</v>
      </c>
      <c r="C4" s="11" t="n">
        <v>40</v>
      </c>
      <c r="D4" s="11" t="n">
        <v>60</v>
      </c>
      <c r="E4" s="12" t="s">
        <v>18</v>
      </c>
    </row>
    <row r="5" customFormat="false" ht="15" hidden="false" customHeight="false" outlineLevel="0" collapsed="false">
      <c r="A5" s="7" t="s">
        <v>19</v>
      </c>
      <c r="B5" s="11" t="n">
        <v>90</v>
      </c>
    </row>
    <row r="6" customFormat="false" ht="15" hidden="false" customHeight="false" outlineLevel="0" collapsed="false">
      <c r="A6" s="7" t="s">
        <v>20</v>
      </c>
      <c r="B6" s="13" t="n">
        <v>0.06</v>
      </c>
      <c r="C6" s="13" t="n">
        <v>0.1</v>
      </c>
      <c r="D6" s="13" t="n">
        <v>0.15</v>
      </c>
    </row>
    <row r="7" customFormat="false" ht="15" hidden="false" customHeight="false" outlineLevel="0" collapsed="false">
      <c r="A7" s="7" t="s">
        <v>21</v>
      </c>
      <c r="B7" s="13" t="n">
        <v>0.05</v>
      </c>
    </row>
    <row r="9" customFormat="false" ht="15" hidden="false" customHeight="false" outlineLevel="0" collapsed="false">
      <c r="A9" s="7" t="s">
        <v>22</v>
      </c>
      <c r="B9" s="14" t="n">
        <v>122.79</v>
      </c>
    </row>
    <row r="10" customFormat="false" ht="15" hidden="false" customHeight="false" outlineLevel="0" collapsed="false">
      <c r="A10" s="7" t="s">
        <v>23</v>
      </c>
      <c r="B10" s="14" t="n">
        <v>164.85</v>
      </c>
    </row>
    <row r="11" customFormat="false" ht="15" hidden="false" customHeight="false" outlineLevel="0" collapsed="false">
      <c r="A11" s="7" t="s">
        <v>24</v>
      </c>
      <c r="B11" s="13" t="n">
        <v>0.5</v>
      </c>
    </row>
    <row r="12" customFormat="false" ht="15" hidden="false" customHeight="false" outlineLevel="0" collapsed="false">
      <c r="A12" s="7" t="s">
        <v>25</v>
      </c>
      <c r="B12" s="14" t="n">
        <v>158.175</v>
      </c>
    </row>
    <row r="13" customFormat="false" ht="15" hidden="false" customHeight="false" outlineLevel="0" collapsed="false">
      <c r="A13" s="7" t="s">
        <v>26</v>
      </c>
      <c r="B13" s="11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</cols>
  <sheetData>
    <row r="1" customFormat="false" ht="16.15" hidden="false" customHeight="false" outlineLevel="0" collapsed="false">
      <c r="A1" s="1" t="s">
        <v>27</v>
      </c>
    </row>
    <row r="4" customFormat="false" ht="15" hidden="false" customHeight="false" outlineLevel="0" collapsed="false">
      <c r="A4" s="5" t="s">
        <v>28</v>
      </c>
      <c r="B4" s="6" t="s">
        <v>29</v>
      </c>
    </row>
    <row r="5" customFormat="false" ht="15" hidden="false" customHeight="false" outlineLevel="0" collapsed="false">
      <c r="A5" s="5" t="s">
        <v>30</v>
      </c>
      <c r="B5" s="6" t="s">
        <v>31</v>
      </c>
    </row>
    <row r="6" customFormat="false" ht="15" hidden="false" customHeight="false" outlineLevel="0" collapsed="false">
      <c r="A6" s="5" t="s">
        <v>32</v>
      </c>
      <c r="B6" s="6" t="s">
        <v>33</v>
      </c>
    </row>
    <row r="7" customFormat="false" ht="15" hidden="false" customHeight="false" outlineLevel="0" collapsed="false">
      <c r="A7" s="5" t="s">
        <v>34</v>
      </c>
      <c r="B7" s="14" t="n">
        <v>100</v>
      </c>
    </row>
    <row r="8" customFormat="false" ht="15" hidden="false" customHeight="false" outlineLevel="0" collapsed="false">
      <c r="A8" s="5" t="s">
        <v>35</v>
      </c>
      <c r="B8" s="11" t="n">
        <v>40</v>
      </c>
    </row>
    <row r="9" customFormat="false" ht="15" hidden="false" customHeight="false" outlineLevel="0" collapsed="false">
      <c r="A9" s="5" t="s">
        <v>36</v>
      </c>
      <c r="B9" s="6" t="s">
        <v>37</v>
      </c>
    </row>
    <row r="10" customFormat="false" ht="15" hidden="false" customHeight="false" outlineLevel="0" collapsed="false">
      <c r="A10" s="5" t="s">
        <v>38</v>
      </c>
      <c r="B10" s="6" t="s">
        <v>39</v>
      </c>
    </row>
    <row r="11" customFormat="false" ht="15" hidden="false" customHeight="false" outlineLevel="0" collapsed="false">
      <c r="A11" s="5" t="s">
        <v>40</v>
      </c>
      <c r="B11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15" t="s">
        <v>44</v>
      </c>
      <c r="B4" s="15" t="s">
        <v>45</v>
      </c>
      <c r="C4" s="15" t="s">
        <v>46</v>
      </c>
      <c r="D4" s="15" t="s">
        <v>47</v>
      </c>
    </row>
    <row r="5" customFormat="false" ht="15" hidden="false" customHeight="false" outlineLevel="0" collapsed="false">
      <c r="A5" s="7" t="s">
        <v>48</v>
      </c>
      <c r="B5" s="14" t="n">
        <v>100</v>
      </c>
      <c r="C5" s="7" t="s">
        <v>49</v>
      </c>
      <c r="D5" s="12" t="s">
        <v>50</v>
      </c>
    </row>
    <row r="6" customFormat="false" ht="15" hidden="false" customHeight="false" outlineLevel="0" collapsed="false">
      <c r="A6" s="7" t="s">
        <v>51</v>
      </c>
      <c r="B6" s="16" t="n">
        <v>1.137</v>
      </c>
    </row>
    <row r="7" customFormat="false" ht="15" hidden="false" customHeight="false" outlineLevel="0" collapsed="false">
      <c r="A7" s="5" t="s">
        <v>52</v>
      </c>
      <c r="B7" s="17" t="n">
        <f aca="false">E2_TakeOff!$B$5*E2_TakeOff!$B$6</f>
        <v>113.7</v>
      </c>
      <c r="C7" s="7" t="s">
        <v>49</v>
      </c>
    </row>
    <row r="8" customFormat="false" ht="15" hidden="false" customHeight="false" outlineLevel="0" collapsed="false">
      <c r="A8" s="7" t="s">
        <v>53</v>
      </c>
      <c r="B8" s="18" t="n">
        <v>0.0664028</v>
      </c>
    </row>
    <row r="9" customFormat="false" ht="15" hidden="false" customHeight="false" outlineLevel="0" collapsed="false">
      <c r="A9" s="5" t="s">
        <v>54</v>
      </c>
      <c r="B9" s="17" t="n">
        <f aca="false">E2_TakeOff!$B$7*(1+E2_TakeOff!$B$8)</f>
        <v>121.24999836</v>
      </c>
      <c r="C9" s="7" t="s">
        <v>49</v>
      </c>
    </row>
    <row r="10" customFormat="false" ht="15" hidden="false" customHeight="false" outlineLevel="0" collapsed="false">
      <c r="A10" s="5" t="s">
        <v>55</v>
      </c>
      <c r="B10" s="19" t="n">
        <f aca="false">E2_TakeOff!$B$9/E2_TakeOff!$B$5</f>
        <v>1.2124999836</v>
      </c>
    </row>
    <row r="11" customFormat="false" ht="15" hidden="false" customHeight="false" outlineLevel="0" collapsed="false">
      <c r="A11" s="7" t="s">
        <v>56</v>
      </c>
      <c r="B11" s="14" t="n">
        <v>113.68</v>
      </c>
    </row>
    <row r="12" customFormat="false" ht="15" hidden="false" customHeight="false" outlineLevel="0" collapsed="false">
      <c r="A12" s="5" t="s">
        <v>57</v>
      </c>
      <c r="B12" s="5" t="str">
        <f aca="false">IF(ABS(E2_TakeOff!$B$11-E2_TakeOff!$B$7)/E2_TakeOff!$B$7&lt;=0.005,"OK","DETENER EMISIÓN")</f>
        <v>OK</v>
      </c>
    </row>
    <row r="14" customFormat="false" ht="15" hidden="false" customHeight="false" outlineLevel="0" collapsed="false">
      <c r="A14" s="3" t="s">
        <v>58</v>
      </c>
    </row>
    <row r="15" customFormat="false" ht="15" hidden="false" customHeight="false" outlineLevel="0" collapsed="false">
      <c r="A15" s="20" t="s">
        <v>59</v>
      </c>
      <c r="B15" s="20"/>
      <c r="C15" s="20"/>
      <c r="D15" s="20"/>
    </row>
    <row r="16" customFormat="false" ht="15" hidden="false" customHeight="false" outlineLevel="0" collapsed="false">
      <c r="A16" s="20" t="s">
        <v>60</v>
      </c>
      <c r="B16" s="20"/>
      <c r="C16" s="20"/>
      <c r="D16" s="20"/>
    </row>
    <row r="17" customFormat="false" ht="15" hidden="false" customHeight="false" outlineLevel="0" collapsed="false">
      <c r="A17" s="20" t="s">
        <v>61</v>
      </c>
      <c r="B17" s="20"/>
      <c r="C17" s="20"/>
      <c r="D17" s="20"/>
    </row>
  </sheetData>
  <mergeCells count="3"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 t="s">
        <v>69</v>
      </c>
    </row>
    <row r="5" customFormat="false" ht="15" hidden="false" customHeight="false" outlineLevel="0" collapsed="false">
      <c r="A5" s="7" t="s">
        <v>70</v>
      </c>
      <c r="B5" s="14" t="n">
        <v>24.8</v>
      </c>
      <c r="C5" s="6" t="s">
        <v>71</v>
      </c>
      <c r="D5" s="6" t="s">
        <v>72</v>
      </c>
      <c r="E5" s="11" t="n">
        <v>9</v>
      </c>
      <c r="F5" s="7" t="str">
        <f aca="false">IF(E5&gt;0,"VIGENTE","BLOQUEADO")</f>
        <v>VIGENTE</v>
      </c>
    </row>
    <row r="6" customFormat="false" ht="15" hidden="false" customHeight="false" outlineLevel="0" collapsed="false">
      <c r="A6" s="7" t="s">
        <v>73</v>
      </c>
      <c r="B6" s="14" t="n">
        <v>26.1</v>
      </c>
      <c r="C6" s="6" t="s">
        <v>74</v>
      </c>
      <c r="D6" s="6" t="s">
        <v>75</v>
      </c>
      <c r="E6" s="11" t="n">
        <v>12</v>
      </c>
      <c r="F6" s="7" t="str">
        <f aca="false">IF(E6&gt;0,"VIGENTE","BLOQUEADO")</f>
        <v>VIGENTE</v>
      </c>
    </row>
    <row r="7" customFormat="false" ht="15" hidden="false" customHeight="false" outlineLevel="0" collapsed="false">
      <c r="A7" s="7" t="s">
        <v>76</v>
      </c>
      <c r="B7" s="14" t="n">
        <v>28.35</v>
      </c>
      <c r="C7" s="6" t="s">
        <v>74</v>
      </c>
      <c r="D7" s="6" t="s">
        <v>77</v>
      </c>
      <c r="E7" s="11" t="n">
        <v>6</v>
      </c>
      <c r="F7" s="7" t="str">
        <f aca="false">IF(E7&gt;0,"VIGENTE","BLOQUEADO")</f>
        <v>VIGENTE</v>
      </c>
    </row>
    <row r="8" customFormat="false" ht="15" hidden="false" customHeight="false" outlineLevel="0" collapsed="false">
      <c r="A8" s="7" t="s">
        <v>78</v>
      </c>
      <c r="B8" s="14" t="n">
        <v>118</v>
      </c>
      <c r="C8" s="6" t="s">
        <v>79</v>
      </c>
      <c r="D8" s="6" t="s">
        <v>80</v>
      </c>
      <c r="E8" s="11" t="n">
        <v>30</v>
      </c>
      <c r="F8" s="7" t="str">
        <f aca="false">IF(E8&gt;0,"VIGENTE","BLOQUEADO")</f>
        <v>VIGENTE</v>
      </c>
    </row>
    <row r="9" customFormat="false" ht="15" hidden="false" customHeight="false" outlineLevel="0" collapsed="false">
      <c r="A9" s="5" t="s">
        <v>81</v>
      </c>
      <c r="B9" s="14" t="n">
        <v>25</v>
      </c>
    </row>
    <row r="11" customFormat="false" ht="37.3" hidden="false" customHeight="false" outlineLevel="0" collapsed="false">
      <c r="A11" s="1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83</v>
      </c>
    </row>
    <row r="4" customFormat="false" ht="15" hidden="false" customHeight="false" outlineLevel="0" collapsed="false">
      <c r="A4" s="5" t="s">
        <v>84</v>
      </c>
      <c r="B4" s="11" t="n">
        <v>40</v>
      </c>
      <c r="C4" s="12" t="s">
        <v>85</v>
      </c>
    </row>
    <row r="5" customFormat="false" ht="15" hidden="false" customHeight="false" outlineLevel="0" collapsed="false">
      <c r="A5" s="5" t="s">
        <v>86</v>
      </c>
      <c r="B5" s="11" t="n">
        <v>15</v>
      </c>
      <c r="C5" s="12" t="s">
        <v>87</v>
      </c>
    </row>
    <row r="6" customFormat="false" ht="15" hidden="false" customHeight="false" outlineLevel="0" collapsed="false">
      <c r="A6" s="5" t="s">
        <v>88</v>
      </c>
      <c r="B6" s="11" t="n">
        <v>24</v>
      </c>
      <c r="C6" s="12" t="s">
        <v>89</v>
      </c>
    </row>
    <row r="7" customFormat="false" ht="15" hidden="false" customHeight="false" outlineLevel="0" collapsed="false">
      <c r="A7" s="5" t="s">
        <v>90</v>
      </c>
      <c r="B7" s="6" t="s">
        <v>91</v>
      </c>
      <c r="C7" s="12" t="s">
        <v>92</v>
      </c>
    </row>
    <row r="8" customFormat="false" ht="15" hidden="false" customHeight="false" outlineLevel="0" collapsed="false">
      <c r="A8" s="5" t="s">
        <v>93</v>
      </c>
      <c r="B8" s="6" t="s">
        <v>94</v>
      </c>
      <c r="C8" s="1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5" t="s">
        <v>22</v>
      </c>
      <c r="B4" s="21" t="n">
        <f aca="false">Parametros_Version!$B$9</f>
        <v>122.79</v>
      </c>
      <c r="C4" s="12" t="s">
        <v>98</v>
      </c>
    </row>
    <row r="5" customFormat="false" ht="15" hidden="false" customHeight="false" outlineLevel="0" collapsed="false">
      <c r="A5" s="5" t="s">
        <v>23</v>
      </c>
      <c r="B5" s="21" t="n">
        <f aca="false">Parametros_Version!$B$10</f>
        <v>164.85</v>
      </c>
      <c r="C5" s="12" t="s">
        <v>99</v>
      </c>
    </row>
    <row r="6" customFormat="false" ht="15" hidden="false" customHeight="false" outlineLevel="0" collapsed="false">
      <c r="A6" s="5" t="s">
        <v>100</v>
      </c>
      <c r="B6" s="14" t="n">
        <v>99.61</v>
      </c>
      <c r="C6" s="12" t="s">
        <v>101</v>
      </c>
    </row>
    <row r="7" customFormat="false" ht="15" hidden="false" customHeight="false" outlineLevel="0" collapsed="false">
      <c r="A7" s="5" t="s">
        <v>102</v>
      </c>
      <c r="B7" s="14" t="n">
        <v>115.45</v>
      </c>
      <c r="C7" s="12" t="s">
        <v>103</v>
      </c>
    </row>
    <row r="8" customFormat="false" ht="15" hidden="false" customHeight="false" outlineLevel="0" collapsed="false">
      <c r="A8" s="5" t="s">
        <v>104</v>
      </c>
      <c r="B8" s="5" t="str">
        <f aca="false">IF($B$6&lt;$B$7,"CUBIERTAS","ALERTA")</f>
        <v>CUBIERTAS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107</v>
      </c>
    </row>
    <row r="5" customFormat="false" ht="15" hidden="false" customHeight="false" outlineLevel="0" collapsed="false">
      <c r="A5" s="15" t="s">
        <v>44</v>
      </c>
      <c r="B5" s="15" t="s">
        <v>108</v>
      </c>
      <c r="C5" s="15" t="s">
        <v>109</v>
      </c>
      <c r="D5" s="15" t="s">
        <v>110</v>
      </c>
      <c r="E5" s="15" t="s">
        <v>111</v>
      </c>
    </row>
    <row r="6" customFormat="false" ht="15" hidden="false" customHeight="false" outlineLevel="0" collapsed="false">
      <c r="A6" s="6" t="s">
        <v>112</v>
      </c>
      <c r="B6" s="6" t="s">
        <v>113</v>
      </c>
      <c r="C6" s="6" t="s">
        <v>114</v>
      </c>
      <c r="D6" s="6" t="s">
        <v>109</v>
      </c>
      <c r="E6" s="22" t="n">
        <v>48200</v>
      </c>
    </row>
    <row r="7" customFormat="false" ht="15" hidden="false" customHeight="false" outlineLevel="0" collapsed="false">
      <c r="A7" s="6" t="s">
        <v>115</v>
      </c>
      <c r="B7" s="6" t="s">
        <v>116</v>
      </c>
      <c r="C7" s="6" t="s">
        <v>117</v>
      </c>
      <c r="D7" s="6" t="s">
        <v>109</v>
      </c>
      <c r="E7" s="22" t="n">
        <v>121400</v>
      </c>
    </row>
    <row r="8" customFormat="false" ht="15" hidden="false" customHeight="false" outlineLevel="0" collapsed="false">
      <c r="A8" s="6" t="s">
        <v>118</v>
      </c>
      <c r="B8" s="6" t="s">
        <v>119</v>
      </c>
      <c r="C8" s="6" t="s">
        <v>120</v>
      </c>
      <c r="D8" s="6" t="s">
        <v>109</v>
      </c>
      <c r="E8" s="22" t="n">
        <v>18600</v>
      </c>
    </row>
    <row r="9" customFormat="false" ht="15" hidden="false" customHeight="false" outlineLevel="0" collapsed="false">
      <c r="A9" s="5" t="s">
        <v>121</v>
      </c>
      <c r="E9" s="23" t="n">
        <f aca="false">SUM(E6:E8)</f>
        <v>188200</v>
      </c>
    </row>
    <row r="11" customFormat="false" ht="15" hidden="false" customHeight="false" outlineLevel="0" collapsed="false">
      <c r="A11" s="5" t="s">
        <v>122</v>
      </c>
    </row>
    <row r="12" customFormat="false" ht="15" hidden="false" customHeight="false" outlineLevel="0" collapsed="false">
      <c r="A12" s="15" t="s">
        <v>123</v>
      </c>
      <c r="B12" s="15" t="s">
        <v>124</v>
      </c>
      <c r="C12" s="15" t="s">
        <v>125</v>
      </c>
      <c r="D12" s="15" t="s">
        <v>126</v>
      </c>
      <c r="E12" s="15" t="s">
        <v>127</v>
      </c>
      <c r="F12" s="15" t="s">
        <v>128</v>
      </c>
    </row>
    <row r="13" customFormat="false" ht="15" hidden="false" customHeight="false" outlineLevel="0" collapsed="false">
      <c r="A13" s="7" t="s">
        <v>129</v>
      </c>
      <c r="B13" s="11" t="n">
        <v>22</v>
      </c>
      <c r="C13" s="11" t="n">
        <v>38</v>
      </c>
      <c r="D13" s="11" t="n">
        <v>24</v>
      </c>
      <c r="E13" s="11" t="n">
        <v>21</v>
      </c>
      <c r="F13" s="1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5" t="s">
        <v>132</v>
      </c>
    </row>
    <row r="5" customFormat="false" ht="15" hidden="false" customHeight="false" outlineLevel="0" collapsed="false">
      <c r="A5" s="15" t="s">
        <v>28</v>
      </c>
      <c r="B5" s="15" t="s">
        <v>133</v>
      </c>
      <c r="C5" s="15" t="s">
        <v>134</v>
      </c>
      <c r="D5" s="15" t="s">
        <v>135</v>
      </c>
      <c r="E5" s="15" t="s">
        <v>136</v>
      </c>
      <c r="F5" s="15" t="s">
        <v>137</v>
      </c>
    </row>
    <row r="6" customFormat="false" ht="15" hidden="false" customHeight="false" outlineLevel="0" collapsed="false">
      <c r="A6" s="7" t="s">
        <v>138</v>
      </c>
      <c r="B6" s="11" t="n">
        <v>180</v>
      </c>
      <c r="C6" s="11" t="n">
        <v>210</v>
      </c>
      <c r="D6" s="11" t="n">
        <v>160</v>
      </c>
      <c r="E6" s="11" t="n">
        <v>190</v>
      </c>
      <c r="F6" s="11" t="n">
        <v>160</v>
      </c>
    </row>
    <row r="7" customFormat="false" ht="15" hidden="false" customHeight="false" outlineLevel="0" collapsed="false">
      <c r="A7" s="7" t="s">
        <v>139</v>
      </c>
      <c r="B7" s="11" t="n">
        <v>140</v>
      </c>
      <c r="C7" s="11" t="n">
        <v>160</v>
      </c>
      <c r="D7" s="11" t="n">
        <v>120</v>
      </c>
      <c r="E7" s="11" t="n">
        <v>150</v>
      </c>
      <c r="F7" s="11" t="n">
        <v>100</v>
      </c>
    </row>
    <row r="8" customFormat="false" ht="15" hidden="false" customHeight="false" outlineLevel="0" collapsed="false">
      <c r="A8" s="7" t="s">
        <v>140</v>
      </c>
      <c r="B8" s="11" t="n">
        <v>80</v>
      </c>
      <c r="C8" s="11" t="n">
        <v>96</v>
      </c>
      <c r="D8" s="11" t="n">
        <v>80</v>
      </c>
      <c r="E8" s="11" t="n">
        <v>98</v>
      </c>
      <c r="F8" s="11" t="n">
        <v>100</v>
      </c>
    </row>
    <row r="9" customFormat="false" ht="15" hidden="false" customHeight="false" outlineLevel="0" collapsed="false">
      <c r="A9" s="5" t="s">
        <v>141</v>
      </c>
      <c r="B9" s="24" t="n">
        <f aca="false">SUM(B6:B8)</f>
        <v>400</v>
      </c>
      <c r="C9" s="24" t="n">
        <f aca="false">SUM(C6:C8)</f>
        <v>466</v>
      </c>
      <c r="D9" s="24" t="n">
        <f aca="false">SUM(D6:D8)</f>
        <v>360</v>
      </c>
      <c r="E9" s="24" t="n">
        <f aca="false">SUM(E6:E8)</f>
        <v>438</v>
      </c>
      <c r="F9" s="24" t="n">
        <f aca="false">SUM(F6:F8)</f>
        <v>360</v>
      </c>
    </row>
    <row r="11" customFormat="false" ht="15" hidden="false" customHeight="false" outlineLevel="0" collapsed="false">
      <c r="A11" s="5" t="s">
        <v>142</v>
      </c>
    </row>
    <row r="12" customFormat="false" ht="15" hidden="false" customHeight="false" outlineLevel="0" collapsed="false">
      <c r="A12" s="15" t="s">
        <v>44</v>
      </c>
      <c r="B12" s="15" t="s">
        <v>143</v>
      </c>
      <c r="C12" s="15" t="s">
        <v>144</v>
      </c>
      <c r="D12" s="15" t="s">
        <v>145</v>
      </c>
    </row>
    <row r="13" customFormat="false" ht="15" hidden="false" customHeight="false" outlineLevel="0" collapsed="false">
      <c r="A13" s="7" t="s">
        <v>146</v>
      </c>
      <c r="B13" s="14" t="n">
        <v>61</v>
      </c>
      <c r="C13" s="14" t="n">
        <v>27</v>
      </c>
      <c r="D13" s="17" t="n">
        <f aca="false">B13-C13</f>
        <v>34</v>
      </c>
    </row>
    <row r="14" customFormat="false" ht="28.35" hidden="false" customHeight="false" outlineLevel="0" collapsed="false">
      <c r="A14" s="10" t="s">
        <v>147</v>
      </c>
    </row>
    <row r="16" customFormat="false" ht="15" hidden="false" customHeight="false" outlineLevel="0" collapsed="false">
      <c r="A16" s="5" t="s">
        <v>148</v>
      </c>
      <c r="B16" s="8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150</v>
      </c>
    </row>
    <row r="4" customFormat="false" ht="15" hidden="false" customHeight="false" outlineLevel="0" collapsed="false">
      <c r="A4" s="15" t="s">
        <v>151</v>
      </c>
      <c r="B4" s="15" t="s">
        <v>152</v>
      </c>
      <c r="C4" s="15" t="s">
        <v>153</v>
      </c>
    </row>
    <row r="5" customFormat="false" ht="15" hidden="false" customHeight="false" outlineLevel="0" collapsed="false">
      <c r="A5" s="7" t="s">
        <v>154</v>
      </c>
      <c r="B5" s="14" t="n">
        <v>68.2</v>
      </c>
      <c r="C5" s="25" t="n">
        <f aca="false">B5/$B$9</f>
        <v>0.599824098504837</v>
      </c>
    </row>
    <row r="6" customFormat="false" ht="15" hidden="false" customHeight="false" outlineLevel="0" collapsed="false">
      <c r="A6" s="7" t="s">
        <v>155</v>
      </c>
      <c r="B6" s="14" t="n">
        <v>22.75</v>
      </c>
      <c r="C6" s="25" t="n">
        <f aca="false">B6/$B$9</f>
        <v>0.200087950747581</v>
      </c>
    </row>
    <row r="7" customFormat="false" ht="15" hidden="false" customHeight="false" outlineLevel="0" collapsed="false">
      <c r="A7" s="7" t="s">
        <v>156</v>
      </c>
      <c r="B7" s="14" t="n">
        <v>12.4</v>
      </c>
      <c r="C7" s="25" t="n">
        <f aca="false">B7/$B$9</f>
        <v>0.10905892700088</v>
      </c>
    </row>
    <row r="8" customFormat="false" ht="15" hidden="false" customHeight="false" outlineLevel="0" collapsed="false">
      <c r="A8" s="7" t="s">
        <v>157</v>
      </c>
      <c r="B8" s="14" t="n">
        <v>10.35</v>
      </c>
      <c r="C8" s="25" t="n">
        <f aca="false">B8/$B$9</f>
        <v>0.0910290237467018</v>
      </c>
    </row>
    <row r="9" customFormat="false" ht="15" hidden="false" customHeight="false" outlineLevel="0" collapsed="false">
      <c r="A9" s="5" t="s">
        <v>158</v>
      </c>
      <c r="B9" s="17" t="n">
        <f aca="false">SUM(B5:B8)</f>
        <v>113.7</v>
      </c>
    </row>
    <row r="10" customFormat="false" ht="15" hidden="false" customHeight="false" outlineLevel="0" collapsed="false">
      <c r="A10" s="5" t="s">
        <v>159</v>
      </c>
      <c r="B10" s="5" t="str">
        <f aca="false">IF(ABS(B9-E2_TakeOff!$B$7)&lt;0.01,"OK","REVISAR")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7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160</v>
      </c>
    </row>
    <row r="4" customFormat="false" ht="15" hidden="false" customHeight="false" outlineLevel="0" collapsed="false">
      <c r="A4" s="15" t="s">
        <v>161</v>
      </c>
      <c r="B4" s="15" t="s">
        <v>162</v>
      </c>
      <c r="C4" s="15" t="s">
        <v>163</v>
      </c>
    </row>
    <row r="5" customFormat="false" ht="15" hidden="false" customHeight="false" outlineLevel="0" collapsed="false">
      <c r="A5" s="7" t="s">
        <v>164</v>
      </c>
      <c r="B5" s="26" t="n">
        <f aca="false">E2_TakeOff!$B$9*1000*E3_Precios!$B$9</f>
        <v>3031249.959</v>
      </c>
      <c r="C5" s="12" t="s">
        <v>165</v>
      </c>
    </row>
    <row r="6" customFormat="false" ht="15" hidden="false" customHeight="false" outlineLevel="0" collapsed="false">
      <c r="A6" s="7" t="s">
        <v>166</v>
      </c>
      <c r="B6" s="22" t="n">
        <v>187450</v>
      </c>
    </row>
    <row r="7" customFormat="false" ht="15" hidden="false" customHeight="false" outlineLevel="0" collapsed="false">
      <c r="A7" s="7" t="s">
        <v>167</v>
      </c>
      <c r="B7" s="26" t="n">
        <f aca="false">E2_TakeOff!$B$5*E4_Planta_VSM!$B$4*E5_Financieros!$B$4</f>
        <v>491160</v>
      </c>
      <c r="C7" s="12" t="s">
        <v>168</v>
      </c>
    </row>
    <row r="8" customFormat="false" ht="15" hidden="false" customHeight="false" outlineLevel="0" collapsed="false">
      <c r="A8" s="7" t="s">
        <v>169</v>
      </c>
      <c r="B8" s="26" t="n">
        <f aca="false">S11_Velocidad!$B$8*E5_Financieros!$B$5</f>
        <v>92316</v>
      </c>
      <c r="C8" s="12" t="s">
        <v>170</v>
      </c>
    </row>
    <row r="9" customFormat="false" ht="15" hidden="false" customHeight="false" outlineLevel="0" collapsed="false">
      <c r="A9" s="7" t="s">
        <v>171</v>
      </c>
      <c r="B9" s="22" t="n">
        <v>386580</v>
      </c>
    </row>
    <row r="10" customFormat="false" ht="15" hidden="false" customHeight="false" outlineLevel="0" collapsed="false">
      <c r="A10" s="7" t="s">
        <v>172</v>
      </c>
      <c r="B10" s="22" t="n">
        <v>248900</v>
      </c>
    </row>
    <row r="11" customFormat="false" ht="15" hidden="false" customHeight="false" outlineLevel="0" collapsed="false">
      <c r="A11" s="7" t="s">
        <v>173</v>
      </c>
      <c r="B11" s="22" t="n">
        <v>585000</v>
      </c>
    </row>
    <row r="12" customFormat="false" ht="15" hidden="false" customHeight="false" outlineLevel="0" collapsed="false">
      <c r="A12" s="7" t="s">
        <v>174</v>
      </c>
      <c r="B12" s="22" t="n">
        <v>176300</v>
      </c>
    </row>
    <row r="13" customFormat="false" ht="15" hidden="false" customHeight="false" outlineLevel="0" collapsed="false">
      <c r="A13" s="7" t="s">
        <v>175</v>
      </c>
      <c r="B13" s="22" t="n">
        <v>778397</v>
      </c>
    </row>
    <row r="14" customFormat="false" ht="15" hidden="false" customHeight="false" outlineLevel="0" collapsed="false">
      <c r="A14" s="27" t="s">
        <v>176</v>
      </c>
      <c r="B14" s="28" t="n">
        <f aca="false">SUM(B5:B13)</f>
        <v>5977352.959</v>
      </c>
    </row>
    <row r="15" customFormat="false" ht="15" hidden="false" customHeight="false" outlineLevel="0" collapsed="false">
      <c r="A15" s="5" t="s">
        <v>177</v>
      </c>
      <c r="B15" s="29" t="n">
        <f aca="false">S2_APU_AISC!$B$14/(E2_TakeOff!$B$7*1000)</f>
        <v>52.5712661301671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15" hidden="false" customHeight="false" outlineLevel="0" collapsed="false">
      <c r="A4" s="7" t="s">
        <v>180</v>
      </c>
      <c r="B4" s="8" t="s">
        <v>39</v>
      </c>
      <c r="C4" s="12" t="s">
        <v>181</v>
      </c>
    </row>
    <row r="5" customFormat="false" ht="15" hidden="false" customHeight="false" outlineLevel="0" collapsed="false">
      <c r="A5" s="5" t="s">
        <v>182</v>
      </c>
      <c r="B5" s="30" t="n">
        <v>0.06</v>
      </c>
    </row>
    <row r="6" customFormat="false" ht="15" hidden="false" customHeight="false" outlineLevel="0" collapsed="false">
      <c r="A6" s="5" t="s">
        <v>183</v>
      </c>
      <c r="B6" s="17" t="n">
        <f aca="false">E2_TakeOff!$B$5*(1+S3_Mas6!$B$5)</f>
        <v>106</v>
      </c>
    </row>
    <row r="8" customFormat="false" ht="15" hidden="false" customHeight="false" outlineLevel="0" collapsed="false">
      <c r="A8" s="15" t="s">
        <v>184</v>
      </c>
      <c r="B8" s="15" t="s">
        <v>162</v>
      </c>
    </row>
    <row r="9" customFormat="false" ht="15" hidden="false" customHeight="false" outlineLevel="0" collapsed="false">
      <c r="A9" s="7" t="s">
        <v>154</v>
      </c>
      <c r="B9" s="22" t="n">
        <v>4988000</v>
      </c>
    </row>
    <row r="10" customFormat="false" ht="15" hidden="false" customHeight="false" outlineLevel="0" collapsed="false">
      <c r="A10" s="7" t="s">
        <v>155</v>
      </c>
      <c r="B10" s="22" t="n">
        <v>1672300</v>
      </c>
    </row>
    <row r="11" customFormat="false" ht="15" hidden="false" customHeight="false" outlineLevel="0" collapsed="false">
      <c r="A11" s="7" t="s">
        <v>156</v>
      </c>
      <c r="B11" s="22" t="n">
        <v>793900</v>
      </c>
    </row>
    <row r="12" customFormat="false" ht="15" hidden="false" customHeight="false" outlineLevel="0" collapsed="false">
      <c r="A12" s="7" t="s">
        <v>185</v>
      </c>
      <c r="B12" s="22" t="n">
        <v>339428</v>
      </c>
    </row>
    <row r="13" customFormat="false" ht="15" hidden="false" customHeight="false" outlineLevel="0" collapsed="false">
      <c r="A13" s="5" t="s">
        <v>186</v>
      </c>
      <c r="B13" s="23" t="n">
        <f aca="false">SUM(B9:B12)</f>
        <v>7793628</v>
      </c>
    </row>
    <row r="14" customFormat="false" ht="15" hidden="false" customHeight="false" outlineLevel="0" collapsed="false">
      <c r="A14" s="7" t="s">
        <v>187</v>
      </c>
      <c r="B14" s="22" t="n">
        <v>121305</v>
      </c>
    </row>
    <row r="15" customFormat="false" ht="15" hidden="false" customHeight="false" outlineLevel="0" collapsed="false">
      <c r="A15" s="27" t="s">
        <v>188</v>
      </c>
      <c r="B15" s="28" t="n">
        <f aca="false">B13+B14</f>
        <v>7914933</v>
      </c>
    </row>
    <row r="16" customFormat="false" ht="15" hidden="false" customHeight="false" outlineLevel="0" collapsed="false">
      <c r="A16" s="5" t="s">
        <v>189</v>
      </c>
      <c r="B16" s="22" t="n">
        <v>6011342</v>
      </c>
    </row>
    <row r="17" customFormat="false" ht="15" hidden="false" customHeight="false" outlineLevel="0" collapsed="false">
      <c r="A17" s="5" t="s">
        <v>190</v>
      </c>
      <c r="B17" s="31" t="n">
        <f aca="false">S3_Mas6!$B$16/S2_APU_AISC!$B$14-1</f>
        <v>0.0056863031567882</v>
      </c>
    </row>
    <row r="18" customFormat="false" ht="15" hidden="false" customHeight="false" outlineLevel="0" collapsed="false">
      <c r="A18" s="5" t="s">
        <v>191</v>
      </c>
      <c r="B18" s="5" t="str">
        <f aca="false">IF(ABS(S3_Mas6!$B$16/S2_APU_AISC!$B$14-1)&lt;0.01,"RECONCILIA","REVISAR")</f>
        <v>RECONCILIA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192</v>
      </c>
    </row>
    <row r="4" customFormat="false" ht="15" hidden="false" customHeight="false" outlineLevel="0" collapsed="false">
      <c r="A4" s="27" t="s">
        <v>193</v>
      </c>
    </row>
    <row r="5" customFormat="false" ht="15" hidden="false" customHeight="false" outlineLevel="0" collapsed="false">
      <c r="A5" s="7" t="s">
        <v>194</v>
      </c>
      <c r="B5" s="32" t="n">
        <f aca="false">E6_Especificaciones!$C$13</f>
        <v>38</v>
      </c>
    </row>
    <row r="6" customFormat="false" ht="15" hidden="false" customHeight="false" outlineLevel="0" collapsed="false">
      <c r="A6" s="7" t="s">
        <v>195</v>
      </c>
      <c r="B6" s="7" t="str">
        <f aca="false">E4_Planta_VSM!$B$5&amp;" / "&amp;E4_Planta_VSM!$B$6</f>
        <v>15 / 24</v>
      </c>
    </row>
    <row r="7" customFormat="false" ht="15" hidden="false" customHeight="false" outlineLevel="0" collapsed="false">
      <c r="A7" s="5" t="s">
        <v>196</v>
      </c>
      <c r="B7" s="24" t="n">
        <f aca="false">MAX(0,E6_Especificaciones!$C$13-E4_Planta_VSM!$B$6)</f>
        <v>14</v>
      </c>
    </row>
    <row r="8" customFormat="false" ht="15" hidden="false" customHeight="false" outlineLevel="0" collapsed="false">
      <c r="A8" s="3" t="s">
        <v>197</v>
      </c>
      <c r="B8" s="33" t="n">
        <f aca="false">B7*E4_Planta_VSM!$B$4</f>
        <v>560</v>
      </c>
    </row>
    <row r="9" customFormat="false" ht="15" hidden="false" customHeight="false" outlineLevel="0" collapsed="false">
      <c r="A9" s="27" t="s">
        <v>198</v>
      </c>
    </row>
    <row r="10" customFormat="false" ht="15" hidden="false" customHeight="false" outlineLevel="0" collapsed="false">
      <c r="A10" s="7" t="s">
        <v>199</v>
      </c>
      <c r="B10" s="11" t="n">
        <v>318</v>
      </c>
    </row>
    <row r="11" customFormat="false" ht="15" hidden="false" customHeight="false" outlineLevel="0" collapsed="false">
      <c r="A11" s="7" t="s">
        <v>200</v>
      </c>
      <c r="B11" s="11" t="n">
        <v>490</v>
      </c>
    </row>
    <row r="12" customFormat="false" ht="15" hidden="false" customHeight="false" outlineLevel="0" collapsed="false">
      <c r="A12" s="7" t="s">
        <v>201</v>
      </c>
      <c r="B12" s="11" t="n">
        <v>368</v>
      </c>
    </row>
    <row r="13" customFormat="false" ht="15" hidden="false" customHeight="false" outlineLevel="0" collapsed="false">
      <c r="A13" s="5" t="s">
        <v>202</v>
      </c>
      <c r="B13" s="5" t="str">
        <f aca="false">(B11-B10)&amp;" / "&amp;(B12-B10)</f>
        <v>172 / 50</v>
      </c>
    </row>
    <row r="14" customFormat="false" ht="15" hidden="false" customHeight="false" outlineLevel="0" collapsed="false">
      <c r="A14" s="3" t="s">
        <v>203</v>
      </c>
      <c r="B14" s="3" t="str">
        <f aca="false">IF(B10&lt;B11,"ACTIVA — NUNCA SE SUPRIME","no aplica")</f>
        <v>ACTIVA — NUNCA SE SUPRIME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15" t="s">
        <v>206</v>
      </c>
      <c r="B4" s="15" t="s">
        <v>207</v>
      </c>
      <c r="C4" s="15" t="s">
        <v>208</v>
      </c>
    </row>
    <row r="5" customFormat="false" ht="15" hidden="false" customHeight="false" outlineLevel="0" collapsed="false">
      <c r="A5" s="7" t="s">
        <v>209</v>
      </c>
      <c r="B5" s="34" t="n">
        <f aca="false">S6_Financiero!$B$7</f>
        <v>6183407.959</v>
      </c>
      <c r="C5" s="12" t="s">
        <v>210</v>
      </c>
    </row>
    <row r="6" customFormat="false" ht="15" hidden="false" customHeight="false" outlineLevel="0" collapsed="false">
      <c r="A6" s="7" t="s">
        <v>211</v>
      </c>
      <c r="B6" s="26" t="n">
        <f aca="false">B5+S12_Programa!$B$20</f>
        <v>6247555.959</v>
      </c>
      <c r="C6" s="12" t="s">
        <v>212</v>
      </c>
    </row>
    <row r="7" customFormat="false" ht="15" hidden="false" customHeight="false" outlineLevel="0" collapsed="false">
      <c r="A7" s="7" t="s">
        <v>213</v>
      </c>
      <c r="B7" s="26" t="n">
        <f aca="false">B5+S8_Secuencia_Grua!$C$9</f>
        <v>6259407.959</v>
      </c>
      <c r="C7" s="1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  <col collapsed="false" customWidth="true" hidden="false" outlineLevel="0" max="7" min="7" style="0" width="17"/>
  </cols>
  <sheetData>
    <row r="1" customFormat="false" ht="16.15" hidden="false" customHeight="false" outlineLevel="0" collapsed="false">
      <c r="A1" s="1" t="s">
        <v>215</v>
      </c>
    </row>
    <row r="4" customFormat="false" ht="15" hidden="false" customHeight="false" outlineLevel="0" collapsed="false">
      <c r="A4" s="15" t="s">
        <v>44</v>
      </c>
      <c r="B4" s="15" t="s">
        <v>216</v>
      </c>
      <c r="C4" s="15" t="s">
        <v>217</v>
      </c>
      <c r="D4" s="15" t="s">
        <v>218</v>
      </c>
      <c r="E4" s="15" t="s">
        <v>219</v>
      </c>
      <c r="F4" s="15" t="s">
        <v>220</v>
      </c>
      <c r="G4" s="15" t="s">
        <v>221</v>
      </c>
    </row>
    <row r="5" customFormat="false" ht="15" hidden="false" customHeight="false" outlineLevel="0" collapsed="false">
      <c r="A5" s="7" t="s">
        <v>222</v>
      </c>
      <c r="B5" s="22" t="n">
        <v>1855022</v>
      </c>
      <c r="C5" s="22" t="n">
        <v>0</v>
      </c>
      <c r="D5" s="22" t="n">
        <v>1546000</v>
      </c>
      <c r="E5" s="22" t="n">
        <v>1546000</v>
      </c>
      <c r="F5" s="22" t="n">
        <v>1236386</v>
      </c>
      <c r="G5" s="23" t="n">
        <f aca="false">SUM(B5:F5)</f>
        <v>6183408</v>
      </c>
    </row>
    <row r="6" customFormat="false" ht="15" hidden="false" customHeight="false" outlineLevel="0" collapsed="false">
      <c r="A6" s="7" t="s">
        <v>223</v>
      </c>
      <c r="B6" s="22" t="n">
        <v>-1210000</v>
      </c>
      <c r="C6" s="22" t="n">
        <v>-1520000</v>
      </c>
      <c r="D6" s="22" t="n">
        <v>-1430000</v>
      </c>
      <c r="E6" s="22" t="n">
        <v>-1050000</v>
      </c>
      <c r="F6" s="22" t="n">
        <v>-767353</v>
      </c>
      <c r="G6" s="23" t="n">
        <f aca="false">SUM(B6:F6)</f>
        <v>-5977353</v>
      </c>
    </row>
    <row r="7" customFormat="false" ht="15" hidden="false" customHeight="false" outlineLevel="0" collapsed="false">
      <c r="A7" s="5" t="s">
        <v>224</v>
      </c>
      <c r="B7" s="23" t="n">
        <f aca="false">B5+B6</f>
        <v>645022</v>
      </c>
      <c r="C7" s="23" t="n">
        <f aca="false">C5+C6</f>
        <v>-1520000</v>
      </c>
      <c r="D7" s="23" t="n">
        <f aca="false">D5+D6</f>
        <v>116000</v>
      </c>
      <c r="E7" s="23" t="n">
        <f aca="false">E5+E6</f>
        <v>496000</v>
      </c>
      <c r="F7" s="23" t="n">
        <f aca="false">F5+F6</f>
        <v>469033</v>
      </c>
      <c r="G7" s="23" t="n">
        <f aca="false">SUM(B7:F7)</f>
        <v>206055</v>
      </c>
    </row>
    <row r="9" customFormat="false" ht="15" hidden="false" customHeight="false" outlineLevel="0" collapsed="false">
      <c r="A9" s="5" t="s">
        <v>225</v>
      </c>
      <c r="B9" s="22" t="n">
        <v>206054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226</v>
      </c>
    </row>
    <row r="4" customFormat="false" ht="15" hidden="false" customHeight="false" outlineLevel="0" collapsed="false">
      <c r="A4" s="7" t="s">
        <v>227</v>
      </c>
      <c r="B4" s="34" t="n">
        <f aca="false">S2_APU_AISC!$B$14</f>
        <v>5977352.959</v>
      </c>
    </row>
    <row r="5" customFormat="false" ht="15" hidden="false" customHeight="false" outlineLevel="0" collapsed="false">
      <c r="A5" s="7" t="s">
        <v>228</v>
      </c>
      <c r="B5" s="34" t="n">
        <f aca="false">S5_Flujo!$B$9</f>
        <v>206054</v>
      </c>
    </row>
    <row r="6" customFormat="false" ht="15" hidden="false" customHeight="false" outlineLevel="0" collapsed="false">
      <c r="A6" s="7" t="s">
        <v>229</v>
      </c>
      <c r="B6" s="22" t="n">
        <v>1</v>
      </c>
    </row>
    <row r="7" customFormat="false" ht="15" hidden="false" customHeight="false" outlineLevel="0" collapsed="false">
      <c r="A7" s="27" t="s">
        <v>230</v>
      </c>
      <c r="B7" s="28" t="n">
        <f aca="false">B4+B5+B6</f>
        <v>6183407.959</v>
      </c>
    </row>
    <row r="8" customFormat="false" ht="15" hidden="false" customHeight="false" outlineLevel="0" collapsed="false">
      <c r="A8" s="5" t="s">
        <v>231</v>
      </c>
      <c r="B8" s="29" t="n">
        <f aca="false">S6_Financiero!$B$7/(E2_TakeOff!$B$7*1000)</f>
        <v>54.3835352594547</v>
      </c>
    </row>
    <row r="9" customFormat="false" ht="15" hidden="false" customHeight="false" outlineLevel="0" collapsed="false">
      <c r="A9" s="3" t="s">
        <v>232</v>
      </c>
      <c r="B9" s="35" t="str">
        <f aca="false">Bitacora_Precios!$B$11</f>
        <v>EMISIÓN HABILITADA</v>
      </c>
    </row>
    <row r="11" customFormat="false" ht="15" hidden="false" customHeight="true" outlineLevel="0" collapsed="false">
      <c r="A11" s="4" t="s">
        <v>233</v>
      </c>
      <c r="B11" s="4"/>
      <c r="C11" s="4"/>
    </row>
    <row r="12" customFormat="false" ht="15" hidden="false" customHeight="false" outlineLevel="0" collapsed="false">
      <c r="A12" s="4"/>
      <c r="B12" s="4"/>
      <c r="C12" s="4"/>
    </row>
    <row r="13" customFormat="false" ht="15" hidden="false" customHeight="false" outlineLevel="0" collapsed="false">
      <c r="A13" s="4"/>
      <c r="B13" s="4"/>
      <c r="C13" s="4"/>
    </row>
  </sheetData>
  <mergeCells count="1">
    <mergeCell ref="A11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234</v>
      </c>
    </row>
    <row r="4" customFormat="false" ht="15" hidden="false" customHeight="false" outlineLevel="0" collapsed="false">
      <c r="A4" s="7" t="s">
        <v>235</v>
      </c>
      <c r="B4" s="21" t="n">
        <f aca="false">E2_TakeOff!$B$9</f>
        <v>121.24999836</v>
      </c>
    </row>
    <row r="5" customFormat="false" ht="15" hidden="false" customHeight="false" outlineLevel="0" collapsed="false">
      <c r="A5" s="7" t="s">
        <v>236</v>
      </c>
      <c r="B5" s="14" t="n">
        <v>0.3</v>
      </c>
    </row>
    <row r="6" customFormat="false" ht="15" hidden="false" customHeight="false" outlineLevel="0" collapsed="false">
      <c r="A6" s="5" t="s">
        <v>237</v>
      </c>
      <c r="B6" s="17" t="n">
        <f aca="false">B4+B5</f>
        <v>121.54999836</v>
      </c>
    </row>
    <row r="7" customFormat="false" ht="15" hidden="false" customHeight="false" outlineLevel="0" collapsed="false">
      <c r="A7" s="7" t="s">
        <v>238</v>
      </c>
      <c r="B7" s="21" t="n">
        <f aca="false">E7_Carga_Inventario!$D$13</f>
        <v>34</v>
      </c>
    </row>
    <row r="8" customFormat="false" ht="15" hidden="false" customHeight="false" outlineLevel="0" collapsed="false">
      <c r="A8" s="27" t="s">
        <v>239</v>
      </c>
      <c r="B8" s="36" t="n">
        <f aca="false">B6-B7</f>
        <v>87.54999836</v>
      </c>
    </row>
    <row r="9" customFormat="false" ht="15" hidden="false" customHeight="false" outlineLevel="0" collapsed="false">
      <c r="A9" s="10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" t="s">
        <v>241</v>
      </c>
    </row>
    <row r="4" customFormat="false" ht="15" hidden="false" customHeight="false" outlineLevel="0" collapsed="false">
      <c r="A4" s="7" t="s">
        <v>242</v>
      </c>
      <c r="B4" s="7"/>
      <c r="C4" s="7"/>
      <c r="D4" s="7"/>
    </row>
    <row r="6" customFormat="false" ht="15" hidden="false" customHeight="false" outlineLevel="0" collapsed="false">
      <c r="A6" s="15" t="s">
        <v>243</v>
      </c>
      <c r="B6" s="15" t="s">
        <v>244</v>
      </c>
      <c r="C6" s="15" t="s">
        <v>245</v>
      </c>
      <c r="D6" s="15" t="s">
        <v>47</v>
      </c>
    </row>
    <row r="7" customFormat="false" ht="15" hidden="false" customHeight="false" outlineLevel="0" collapsed="false">
      <c r="A7" s="7" t="s">
        <v>246</v>
      </c>
      <c r="B7" s="14" t="n">
        <v>14.2</v>
      </c>
      <c r="C7" s="22" t="n">
        <v>38000</v>
      </c>
      <c r="D7" s="12" t="s">
        <v>247</v>
      </c>
    </row>
    <row r="8" customFormat="false" ht="15" hidden="false" customHeight="false" outlineLevel="0" collapsed="false">
      <c r="A8" s="7" t="s">
        <v>248</v>
      </c>
      <c r="B8" s="14" t="n">
        <v>12.8</v>
      </c>
      <c r="C8" s="22" t="n">
        <v>38000</v>
      </c>
      <c r="D8" s="12" t="s">
        <v>249</v>
      </c>
    </row>
    <row r="9" customFormat="false" ht="15" hidden="false" customHeight="false" outlineLevel="0" collapsed="false">
      <c r="A9" s="5" t="s">
        <v>250</v>
      </c>
      <c r="B9" s="5" t="str">
        <f aca="false">COUNT(B7:B8)&amp;" piezas"</f>
        <v>2 piezas</v>
      </c>
      <c r="C9" s="23" t="n">
        <f aca="false">SUM(C7:C8)</f>
        <v>76000</v>
      </c>
    </row>
  </sheetData>
  <mergeCells count="1"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15"/>
  </cols>
  <sheetData>
    <row r="1" customFormat="false" ht="16.15" hidden="false" customHeight="false" outlineLevel="0" collapsed="false">
      <c r="A1" s="1" t="s">
        <v>251</v>
      </c>
    </row>
    <row r="4" customFormat="false" ht="15" hidden="false" customHeight="false" outlineLevel="0" collapsed="false">
      <c r="A4" s="15" t="s">
        <v>44</v>
      </c>
      <c r="B4" s="15" t="s">
        <v>133</v>
      </c>
      <c r="C4" s="15" t="s">
        <v>134</v>
      </c>
      <c r="D4" s="15" t="s">
        <v>135</v>
      </c>
      <c r="E4" s="15" t="s">
        <v>136</v>
      </c>
      <c r="F4" s="15" t="s">
        <v>137</v>
      </c>
    </row>
    <row r="5" customFormat="false" ht="15" hidden="false" customHeight="false" outlineLevel="0" collapsed="false">
      <c r="A5" s="7" t="s">
        <v>252</v>
      </c>
      <c r="B5" s="11" t="n">
        <v>880</v>
      </c>
      <c r="C5" s="11" t="n">
        <v>1520</v>
      </c>
      <c r="D5" s="11" t="n">
        <v>960</v>
      </c>
      <c r="E5" s="11" t="n">
        <v>840</v>
      </c>
      <c r="F5" s="11" t="n">
        <v>400</v>
      </c>
    </row>
    <row r="6" customFormat="false" ht="15" hidden="false" customHeight="false" outlineLevel="0" collapsed="false">
      <c r="A6" s="7" t="s">
        <v>253</v>
      </c>
      <c r="B6" s="32" t="n">
        <f aca="false">Parametros_Version!$B$13</f>
        <v>600</v>
      </c>
      <c r="C6" s="32" t="n">
        <f aca="false">Parametros_Version!$B$13</f>
        <v>600</v>
      </c>
      <c r="D6" s="32" t="n">
        <f aca="false">Parametros_Version!$B$13</f>
        <v>600</v>
      </c>
      <c r="E6" s="32" t="n">
        <f aca="false">Parametros_Version!$B$13</f>
        <v>600</v>
      </c>
      <c r="F6" s="32" t="n">
        <f aca="false">Parametros_Version!$B$13</f>
        <v>600</v>
      </c>
    </row>
    <row r="7" customFormat="false" ht="15" hidden="false" customHeight="false" outlineLevel="0" collapsed="false">
      <c r="A7" s="5" t="s">
        <v>254</v>
      </c>
      <c r="B7" s="24" t="n">
        <f aca="false">MAX(0,B5-B6)</f>
        <v>280</v>
      </c>
      <c r="C7" s="24" t="n">
        <f aca="false">MAX(0,C5-C6)</f>
        <v>920</v>
      </c>
      <c r="D7" s="24" t="n">
        <f aca="false">MAX(0,D5-D6)</f>
        <v>360</v>
      </c>
      <c r="E7" s="24" t="n">
        <f aca="false">MAX(0,E5-E6)</f>
        <v>240</v>
      </c>
      <c r="F7" s="24" t="n">
        <f aca="false">MAX(0,F5-F6)</f>
        <v>0</v>
      </c>
    </row>
    <row r="8" customFormat="false" ht="15" hidden="false" customHeight="false" outlineLevel="0" collapsed="false">
      <c r="A8" s="3" t="s">
        <v>255</v>
      </c>
      <c r="B8" s="33" t="n">
        <f aca="false">C7</f>
        <v>920</v>
      </c>
    </row>
    <row r="9" customFormat="false" ht="15" hidden="false" customHeight="false" outlineLevel="0" collapsed="false">
      <c r="A9" s="5" t="s">
        <v>256</v>
      </c>
      <c r="B9" s="23" t="n">
        <f aca="false">S9_Lotes!$B$8*Parametros_Version!$B$12</f>
        <v>145521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257</v>
      </c>
    </row>
    <row r="4" customFormat="false" ht="15" hidden="false" customHeight="false" outlineLevel="0" collapsed="false">
      <c r="A4" s="15" t="s">
        <v>258</v>
      </c>
      <c r="B4" s="15" t="s">
        <v>259</v>
      </c>
    </row>
    <row r="5" customFormat="false" ht="15" hidden="false" customHeight="false" outlineLevel="0" collapsed="false">
      <c r="A5" s="7" t="s">
        <v>260</v>
      </c>
      <c r="B5" s="37" t="n">
        <v>0.0624</v>
      </c>
    </row>
    <row r="6" customFormat="false" ht="15" hidden="false" customHeight="false" outlineLevel="0" collapsed="false">
      <c r="A6" s="7" t="s">
        <v>261</v>
      </c>
      <c r="B6" s="37" t="n">
        <v>0.046</v>
      </c>
    </row>
    <row r="7" customFormat="false" ht="15" hidden="false" customHeight="false" outlineLevel="0" collapsed="false">
      <c r="A7" s="7" t="s">
        <v>262</v>
      </c>
      <c r="B7" s="37" t="n">
        <v>0.036</v>
      </c>
    </row>
    <row r="8" customFormat="false" ht="15" hidden="false" customHeight="false" outlineLevel="0" collapsed="false">
      <c r="A8" s="7" t="s">
        <v>263</v>
      </c>
      <c r="B8" s="37" t="n">
        <v>0.026</v>
      </c>
    </row>
    <row r="9" customFormat="false" ht="15" hidden="false" customHeight="false" outlineLevel="0" collapsed="false">
      <c r="A9" s="7" t="s">
        <v>264</v>
      </c>
      <c r="B9" s="37" t="n">
        <v>0.02</v>
      </c>
    </row>
    <row r="10" customFormat="false" ht="15" hidden="false" customHeight="false" outlineLevel="0" collapsed="false">
      <c r="A10" s="7" t="s">
        <v>265</v>
      </c>
      <c r="B10" s="37" t="n">
        <v>0.0145</v>
      </c>
    </row>
    <row r="11" customFormat="false" ht="15" hidden="false" customHeight="false" outlineLevel="0" collapsed="false">
      <c r="A11" s="27" t="s">
        <v>266</v>
      </c>
      <c r="B11" s="38" t="n">
        <f aca="false">SQRT(SUMSQ(B5:B10))</f>
        <v>0.0926930957515176</v>
      </c>
    </row>
    <row r="12" customFormat="false" ht="15" hidden="false" customHeight="false" outlineLevel="0" collapsed="false">
      <c r="A12" s="5" t="s">
        <v>267</v>
      </c>
      <c r="B12" s="5" t="str">
        <f aca="false">IF(S10_Checklist_RSS!$B$11&lt;0.05,"VERDE",IF(S10_Checklist_RSS!$B$11&lt;0.1,"ÁMBAR","ROJO"))</f>
        <v>ÁMBAR</v>
      </c>
    </row>
    <row r="14" customFormat="false" ht="15" hidden="false" customHeight="false" outlineLevel="0" collapsed="false">
      <c r="A14" s="5" t="s">
        <v>268</v>
      </c>
    </row>
    <row r="15" customFormat="false" ht="15" hidden="false" customHeight="false" outlineLevel="0" collapsed="false">
      <c r="A15" s="7" t="s">
        <v>269</v>
      </c>
    </row>
    <row r="16" customFormat="false" ht="15" hidden="false" customHeight="false" outlineLevel="0" collapsed="false">
      <c r="A16" s="7" t="s">
        <v>270</v>
      </c>
    </row>
    <row r="17" customFormat="false" ht="15" hidden="false" customHeight="false" outlineLevel="0" collapsed="false">
      <c r="A17" s="7" t="s">
        <v>271</v>
      </c>
    </row>
    <row r="18" customFormat="false" ht="15" hidden="false" customHeight="false" outlineLevel="0" collapsed="false">
      <c r="A18" s="7" t="s">
        <v>272</v>
      </c>
    </row>
    <row r="19" customFormat="false" ht="15" hidden="false" customHeight="false" outlineLevel="0" collapsed="false">
      <c r="A19" s="7" t="s">
        <v>273</v>
      </c>
    </row>
    <row r="20" customFormat="false" ht="15" hidden="false" customHeight="false" outlineLevel="0" collapsed="false">
      <c r="A20" s="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15" t="s">
        <v>277</v>
      </c>
      <c r="B4" s="15" t="s">
        <v>133</v>
      </c>
      <c r="C4" s="15" t="s">
        <v>134</v>
      </c>
      <c r="D4" s="15" t="s">
        <v>135</v>
      </c>
      <c r="E4" s="15" t="s">
        <v>136</v>
      </c>
      <c r="F4" s="15" t="s">
        <v>137</v>
      </c>
    </row>
    <row r="5" customFormat="false" ht="15" hidden="false" customHeight="false" outlineLevel="0" collapsed="false">
      <c r="A5" s="7" t="s">
        <v>278</v>
      </c>
      <c r="B5" s="11" t="n">
        <v>40</v>
      </c>
      <c r="C5" s="11" t="n">
        <v>45</v>
      </c>
      <c r="D5" s="11" t="n">
        <v>38</v>
      </c>
      <c r="E5" s="11" t="n">
        <v>42</v>
      </c>
      <c r="F5" s="11" t="n">
        <v>45</v>
      </c>
    </row>
    <row r="6" customFormat="false" ht="15" hidden="false" customHeight="false" outlineLevel="0" collapsed="false">
      <c r="A6" s="7" t="s">
        <v>279</v>
      </c>
      <c r="B6" s="11" t="n">
        <v>27</v>
      </c>
      <c r="C6" s="11" t="n">
        <v>38</v>
      </c>
      <c r="D6" s="11" t="n">
        <v>22</v>
      </c>
      <c r="E6" s="11" t="n">
        <v>28</v>
      </c>
      <c r="F6" s="11" t="n">
        <v>0</v>
      </c>
    </row>
    <row r="7" customFormat="false" ht="15" hidden="false" customHeight="false" outlineLevel="0" collapsed="false">
      <c r="A7" s="5" t="s">
        <v>280</v>
      </c>
      <c r="B7" s="24" t="n">
        <f aca="false">B5+B6</f>
        <v>67</v>
      </c>
      <c r="C7" s="24" t="n">
        <f aca="false">C5+C6</f>
        <v>83</v>
      </c>
      <c r="D7" s="24" t="n">
        <f aca="false">D5+D6</f>
        <v>60</v>
      </c>
      <c r="E7" s="24" t="n">
        <f aca="false">E5+E6</f>
        <v>70</v>
      </c>
      <c r="F7" s="24" t="n">
        <f aca="false">F5+F6</f>
        <v>45</v>
      </c>
    </row>
    <row r="9" customFormat="false" ht="15" hidden="false" customHeight="false" outlineLevel="0" collapsed="false">
      <c r="A9" s="15" t="s">
        <v>281</v>
      </c>
      <c r="B9" s="15" t="s">
        <v>133</v>
      </c>
      <c r="C9" s="15" t="s">
        <v>134</v>
      </c>
      <c r="D9" s="15" t="s">
        <v>135</v>
      </c>
      <c r="E9" s="15" t="s">
        <v>136</v>
      </c>
      <c r="F9" s="15" t="s">
        <v>137</v>
      </c>
    </row>
    <row r="10" customFormat="false" ht="15" hidden="false" customHeight="false" outlineLevel="0" collapsed="false">
      <c r="A10" s="7" t="s">
        <v>282</v>
      </c>
      <c r="B10" s="11" t="n">
        <v>534</v>
      </c>
      <c r="C10" s="11" t="n">
        <v>666</v>
      </c>
      <c r="D10" s="11" t="n">
        <v>480</v>
      </c>
      <c r="E10" s="11" t="n">
        <v>558</v>
      </c>
      <c r="F10" s="11" t="n">
        <v>360</v>
      </c>
    </row>
    <row r="11" customFormat="false" ht="15" hidden="false" customHeight="false" outlineLevel="0" collapsed="false">
      <c r="A11" s="7" t="s">
        <v>283</v>
      </c>
      <c r="B11" s="32" t="n">
        <f aca="false">Parametros_Version!$B$13</f>
        <v>600</v>
      </c>
      <c r="C11" s="32" t="n">
        <f aca="false">Parametros_Version!$B$13</f>
        <v>600</v>
      </c>
      <c r="D11" s="32" t="n">
        <f aca="false">Parametros_Version!$B$13</f>
        <v>600</v>
      </c>
      <c r="E11" s="32" t="n">
        <f aca="false">Parametros_Version!$B$13</f>
        <v>600</v>
      </c>
      <c r="F11" s="32" t="n">
        <f aca="false">Parametros_Version!$B$13</f>
        <v>600</v>
      </c>
    </row>
    <row r="12" customFormat="false" ht="15" hidden="false" customHeight="false" outlineLevel="0" collapsed="false">
      <c r="A12" s="5" t="s">
        <v>284</v>
      </c>
      <c r="B12" s="39" t="n">
        <f aca="false">B10/B11</f>
        <v>0.89</v>
      </c>
      <c r="C12" s="39" t="n">
        <f aca="false">C10/C11</f>
        <v>1.11</v>
      </c>
      <c r="D12" s="39" t="n">
        <f aca="false">D10/D11</f>
        <v>0.8</v>
      </c>
      <c r="E12" s="39" t="n">
        <f aca="false">E10/E11</f>
        <v>0.93</v>
      </c>
      <c r="F12" s="39" t="n">
        <f aca="false">F10/F11</f>
        <v>0.6</v>
      </c>
    </row>
    <row r="13" customFormat="false" ht="15" hidden="false" customHeight="false" outlineLevel="0" collapsed="false">
      <c r="A13" s="7" t="s">
        <v>285</v>
      </c>
      <c r="B13" s="40" t="n">
        <v>1</v>
      </c>
      <c r="C13" s="40" t="n">
        <v>1</v>
      </c>
      <c r="D13" s="40" t="n">
        <v>1</v>
      </c>
      <c r="E13" s="40" t="n">
        <v>1</v>
      </c>
      <c r="F13" s="40" t="n">
        <v>1</v>
      </c>
    </row>
    <row r="14" customFormat="false" ht="15" hidden="false" customHeight="false" outlineLevel="0" collapsed="false">
      <c r="A14" s="3" t="s">
        <v>286</v>
      </c>
      <c r="B14" s="3" t="str">
        <f aca="false">IF(B12&gt;=1,"ALERTA","")</f>
        <v/>
      </c>
      <c r="C14" s="3" t="str">
        <f aca="false">IF(C12&gt;=1,"ALERTA","")</f>
        <v>ALERTA</v>
      </c>
      <c r="D14" s="3" t="str">
        <f aca="false">IF(D12&gt;=1,"ALERTA","")</f>
        <v/>
      </c>
      <c r="E14" s="3" t="str">
        <f aca="false">IF(E12&gt;=1,"ALERTA","")</f>
        <v/>
      </c>
      <c r="F14" s="3" t="str">
        <f aca="false">IF(F12&gt;=1,"ALERTA","")</f>
        <v/>
      </c>
    </row>
    <row r="16" customFormat="false" ht="15" hidden="false" customHeight="false" outlineLevel="0" collapsed="false">
      <c r="A16" s="5" t="s">
        <v>287</v>
      </c>
    </row>
    <row r="17" customFormat="false" ht="15" hidden="false" customHeight="false" outlineLevel="0" collapsed="false">
      <c r="A17" s="7" t="s">
        <v>288</v>
      </c>
      <c r="B17" s="11" t="n">
        <v>1000</v>
      </c>
    </row>
    <row r="18" customFormat="false" ht="15" hidden="false" customHeight="false" outlineLevel="0" collapsed="false">
      <c r="A18" s="7" t="s">
        <v>289</v>
      </c>
      <c r="B18" s="11" t="n">
        <v>600</v>
      </c>
    </row>
    <row r="19" customFormat="false" ht="15" hidden="false" customHeight="false" outlineLevel="0" collapsed="false">
      <c r="A19" s="5" t="s">
        <v>290</v>
      </c>
      <c r="B19" s="24" t="n">
        <f aca="false">CEILING(B18/Parametros_Version!$B$13,1)</f>
        <v>1</v>
      </c>
    </row>
    <row r="20" customFormat="false" ht="15" hidden="false" customHeight="false" outlineLevel="0" collapsed="false">
      <c r="A20" s="5" t="s">
        <v>291</v>
      </c>
      <c r="B20" s="22" t="n">
        <v>64148</v>
      </c>
    </row>
    <row r="21" customFormat="false" ht="15" hidden="false" customHeight="false" outlineLevel="0" collapsed="false">
      <c r="A21" s="7" t="s">
        <v>292</v>
      </c>
      <c r="B21" s="22" t="n">
        <v>81373</v>
      </c>
    </row>
    <row r="23" customFormat="false" ht="15" hidden="false" customHeight="false" outlineLevel="0" collapsed="false">
      <c r="A23" s="15" t="s">
        <v>293</v>
      </c>
      <c r="B23" s="15" t="s">
        <v>294</v>
      </c>
      <c r="C23" s="15" t="s">
        <v>295</v>
      </c>
    </row>
    <row r="24" customFormat="false" ht="15" hidden="false" customHeight="false" outlineLevel="0" collapsed="false">
      <c r="A24" s="7" t="s">
        <v>296</v>
      </c>
      <c r="C24" s="22" t="n">
        <v>896603</v>
      </c>
    </row>
    <row r="25" customFormat="false" ht="15" hidden="false" customHeight="false" outlineLevel="0" collapsed="false">
      <c r="A25" s="7" t="s">
        <v>297</v>
      </c>
      <c r="B25" s="34" t="n">
        <f aca="false">S9_Lotes!$B$9</f>
        <v>145521</v>
      </c>
      <c r="C25" s="26" t="n">
        <f aca="false">$C$24-B25</f>
        <v>751082</v>
      </c>
    </row>
    <row r="26" customFormat="false" ht="15" hidden="false" customHeight="false" outlineLevel="0" collapsed="false">
      <c r="A26" s="7" t="s">
        <v>298</v>
      </c>
      <c r="B26" s="22" t="n">
        <v>115025</v>
      </c>
      <c r="C26" s="26" t="n">
        <f aca="false">$C$24-B26</f>
        <v>781578</v>
      </c>
    </row>
    <row r="27" customFormat="false" ht="15" hidden="false" customHeight="false" outlineLevel="0" collapsed="false">
      <c r="A27" s="27" t="s">
        <v>299</v>
      </c>
      <c r="B27" s="28" t="n">
        <f aca="false">B20</f>
        <v>64148</v>
      </c>
      <c r="C27" s="28" t="n">
        <f aca="false">$C$24-B27</f>
        <v>832455</v>
      </c>
    </row>
    <row r="28" customFormat="false" ht="15" hidden="false" customHeight="false" outlineLevel="0" collapsed="false">
      <c r="A28" s="7" t="s">
        <v>300</v>
      </c>
      <c r="B28" s="26" t="n">
        <v>0</v>
      </c>
      <c r="C28" s="12" t="s">
        <v>301</v>
      </c>
    </row>
    <row r="29" customFormat="false" ht="15" hidden="false" customHeight="false" outlineLevel="0" collapsed="false">
      <c r="A29" s="3" t="s">
        <v>302</v>
      </c>
      <c r="B29" s="3" t="s">
        <v>303</v>
      </c>
    </row>
    <row r="30" customFormat="false" ht="15" hidden="false" customHeight="true" outlineLevel="0" collapsed="false">
      <c r="A30" s="41" t="s">
        <v>304</v>
      </c>
      <c r="B30" s="41"/>
      <c r="C30" s="41"/>
      <c r="D30" s="41"/>
      <c r="E30" s="41"/>
      <c r="F30" s="41"/>
    </row>
    <row r="31" customFormat="false" ht="15" hidden="false" customHeight="false" outlineLevel="0" collapsed="false">
      <c r="A31" s="41"/>
      <c r="B31" s="41"/>
      <c r="C31" s="41"/>
      <c r="D31" s="41"/>
      <c r="E31" s="41"/>
      <c r="F31" s="41"/>
    </row>
  </sheetData>
  <mergeCells count="1">
    <mergeCell ref="A30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305</v>
      </c>
    </row>
    <row r="4" customFormat="false" ht="15" hidden="false" customHeight="false" outlineLevel="0" collapsed="false">
      <c r="A4" s="7" t="s">
        <v>306</v>
      </c>
      <c r="B4" s="22" t="n">
        <v>5110274</v>
      </c>
    </row>
    <row r="5" customFormat="false" ht="15" hidden="false" customHeight="false" outlineLevel="0" collapsed="false">
      <c r="A5" s="7" t="s">
        <v>307</v>
      </c>
      <c r="B5" s="42" t="n">
        <v>0.084</v>
      </c>
    </row>
    <row r="6" customFormat="false" ht="15" hidden="false" customHeight="false" outlineLevel="0" collapsed="false">
      <c r="A6" s="27" t="s">
        <v>308</v>
      </c>
      <c r="B6" s="28" t="n">
        <f aca="false">B4*B5</f>
        <v>429263.016</v>
      </c>
    </row>
    <row r="7" customFormat="false" ht="28.35" hidden="false" customHeight="false" outlineLevel="0" collapsed="false">
      <c r="A7" s="7" t="s">
        <v>309</v>
      </c>
      <c r="C7" s="43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311</v>
      </c>
    </row>
    <row r="4" customFormat="false" ht="15" hidden="false" customHeight="false" outlineLevel="0" collapsed="false">
      <c r="A4" s="7" t="s">
        <v>312</v>
      </c>
      <c r="B4" s="32" t="n">
        <f aca="false">S11_Velocidad!$B$10</f>
        <v>318</v>
      </c>
    </row>
    <row r="5" customFormat="false" ht="15" hidden="false" customHeight="false" outlineLevel="0" collapsed="false">
      <c r="A5" s="7" t="s">
        <v>200</v>
      </c>
      <c r="B5" s="32" t="n">
        <f aca="false">S11_Velocidad!$B$11</f>
        <v>490</v>
      </c>
    </row>
    <row r="6" customFormat="false" ht="15" hidden="false" customHeight="false" outlineLevel="0" collapsed="false">
      <c r="A6" s="7" t="s">
        <v>201</v>
      </c>
      <c r="B6" s="32" t="n">
        <f aca="false">S11_Velocidad!$B$12</f>
        <v>368</v>
      </c>
    </row>
    <row r="7" customFormat="false" ht="15" hidden="false" customHeight="false" outlineLevel="0" collapsed="false">
      <c r="A7" s="3" t="s">
        <v>69</v>
      </c>
      <c r="B7" s="3" t="str">
        <f aca="false">IF(B4&lt;B5,"BAJO EQUILIBRIO — advertencia activa","OK")</f>
        <v>BAJO EQUILIBRIO — advertencia activa</v>
      </c>
      <c r="C7" s="12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314</v>
      </c>
    </row>
    <row r="4" customFormat="false" ht="22.35" hidden="false" customHeight="false" outlineLevel="0" collapsed="false">
      <c r="A4" s="5" t="s">
        <v>315</v>
      </c>
      <c r="B4" s="44" t="s">
        <v>316</v>
      </c>
    </row>
    <row r="5" customFormat="false" ht="15" hidden="false" customHeight="false" outlineLevel="0" collapsed="false">
      <c r="A5" s="5" t="s">
        <v>317</v>
      </c>
      <c r="B5" s="44" t="s">
        <v>318</v>
      </c>
    </row>
    <row r="6" customFormat="false" ht="22.35" hidden="false" customHeight="false" outlineLevel="0" collapsed="false">
      <c r="A6" s="5" t="s">
        <v>319</v>
      </c>
      <c r="B6" s="44" t="s">
        <v>320</v>
      </c>
    </row>
    <row r="7" customFormat="false" ht="15" hidden="false" customHeight="false" outlineLevel="0" collapsed="false">
      <c r="A7" s="5" t="s">
        <v>321</v>
      </c>
      <c r="B7" s="44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15" hidden="false" customHeight="false" outlineLevel="0" collapsed="false">
      <c r="A4" s="15" t="s">
        <v>325</v>
      </c>
      <c r="B4" s="15" t="s">
        <v>326</v>
      </c>
      <c r="C4" s="15" t="s">
        <v>69</v>
      </c>
    </row>
    <row r="5" customFormat="false" ht="22.35" hidden="false" customHeight="false" outlineLevel="0" collapsed="false">
      <c r="A5" s="44" t="s">
        <v>327</v>
      </c>
      <c r="B5" s="22" t="n">
        <v>118000</v>
      </c>
      <c r="C5" s="12" t="s">
        <v>328</v>
      </c>
    </row>
    <row r="6" customFormat="false" ht="15" hidden="false" customHeight="false" outlineLevel="0" collapsed="false">
      <c r="A6" s="44" t="s">
        <v>329</v>
      </c>
      <c r="B6" s="22" t="n">
        <v>64000</v>
      </c>
      <c r="C6" s="12" t="s">
        <v>328</v>
      </c>
    </row>
    <row r="7" customFormat="false" ht="15" hidden="false" customHeight="false" outlineLevel="0" collapsed="false">
      <c r="A7" s="44" t="s">
        <v>330</v>
      </c>
      <c r="B7" s="22" t="n">
        <v>42000</v>
      </c>
      <c r="C7" s="12" t="s">
        <v>328</v>
      </c>
    </row>
    <row r="8" customFormat="false" ht="15" hidden="false" customHeight="false" outlineLevel="0" collapsed="false">
      <c r="A8" s="5" t="s">
        <v>331</v>
      </c>
      <c r="B8" s="23" t="n">
        <f aca="false">SUM(B5:B7)</f>
        <v>224000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15" hidden="false" customHeight="false" outlineLevel="0" collapsed="false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334</v>
      </c>
      <c r="F4" s="15" t="s">
        <v>335</v>
      </c>
      <c r="G4" s="15" t="s">
        <v>336</v>
      </c>
    </row>
    <row r="5" customFormat="false" ht="15" hidden="false" customHeight="false" outlineLevel="0" collapsed="false">
      <c r="A5" s="8" t="s">
        <v>70</v>
      </c>
      <c r="B5" s="21" t="n">
        <f aca="false">E3_Precios!$B$5</f>
        <v>24.8</v>
      </c>
      <c r="C5" s="8" t="str">
        <f aca="false">E3_Precios!$C$5</f>
        <v>Cotización molino</v>
      </c>
      <c r="D5" s="8" t="str">
        <f aca="false">E3_Precios!$D$5</f>
        <v>2026-07-21</v>
      </c>
      <c r="E5" s="32" t="n">
        <f aca="false">E3_Precios!$E$5</f>
        <v>9</v>
      </c>
      <c r="F5" s="45" t="s">
        <v>337</v>
      </c>
      <c r="G5" s="45" t="s">
        <v>338</v>
      </c>
    </row>
    <row r="6" customFormat="false" ht="15" hidden="false" customHeight="false" outlineLevel="0" collapsed="false">
      <c r="A6" s="8" t="s">
        <v>73</v>
      </c>
      <c r="B6" s="21" t="n">
        <f aca="false">E3_Precios!$B$6</f>
        <v>26.1</v>
      </c>
      <c r="C6" s="8" t="str">
        <f aca="false">E3_Precios!$C$6</f>
        <v>Distribuidor</v>
      </c>
      <c r="D6" s="8" t="str">
        <f aca="false">E3_Precios!$D$6</f>
        <v>2026-07-24</v>
      </c>
      <c r="E6" s="32" t="n">
        <f aca="false">E3_Precios!$E$6</f>
        <v>12</v>
      </c>
      <c r="F6" s="45" t="s">
        <v>337</v>
      </c>
      <c r="G6" s="45" t="s">
        <v>338</v>
      </c>
    </row>
    <row r="7" customFormat="false" ht="15" hidden="false" customHeight="false" outlineLevel="0" collapsed="false">
      <c r="A7" s="8" t="s">
        <v>76</v>
      </c>
      <c r="B7" s="21" t="n">
        <f aca="false">E3_Precios!$B$7</f>
        <v>28.35</v>
      </c>
      <c r="C7" s="8" t="str">
        <f aca="false">E3_Precios!$C$7</f>
        <v>Distribuidor</v>
      </c>
      <c r="D7" s="8" t="str">
        <f aca="false">E3_Precios!$D$7</f>
        <v>2026-07-18</v>
      </c>
      <c r="E7" s="32" t="n">
        <f aca="false">E3_Precios!$E$7</f>
        <v>6</v>
      </c>
      <c r="F7" s="45" t="s">
        <v>337</v>
      </c>
      <c r="G7" s="45" t="s">
        <v>338</v>
      </c>
    </row>
    <row r="8" customFormat="false" ht="15" hidden="false" customHeight="false" outlineLevel="0" collapsed="false">
      <c r="A8" s="8" t="s">
        <v>78</v>
      </c>
      <c r="B8" s="21" t="n">
        <f aca="false">E3_Precios!$B$8</f>
        <v>118</v>
      </c>
      <c r="C8" s="8" t="str">
        <f aca="false">E3_Precios!$C$8</f>
        <v>Proveedor</v>
      </c>
      <c r="D8" s="8" t="str">
        <f aca="false">E3_Precios!$D$8</f>
        <v>2026-07-15</v>
      </c>
      <c r="E8" s="32" t="n">
        <f aca="false">E3_Precios!$E$8</f>
        <v>30</v>
      </c>
      <c r="F8" s="45" t="s">
        <v>337</v>
      </c>
      <c r="G8" s="45" t="s">
        <v>338</v>
      </c>
    </row>
    <row r="9" customFormat="false" ht="15" hidden="false" customHeight="false" outlineLevel="0" collapsed="false">
      <c r="A9" s="5" t="s">
        <v>339</v>
      </c>
      <c r="B9" s="45" t="s">
        <v>340</v>
      </c>
    </row>
    <row r="10" customFormat="false" ht="15" hidden="false" customHeight="false" outlineLevel="0" collapsed="false">
      <c r="A10" s="5" t="s">
        <v>341</v>
      </c>
      <c r="B10" s="45" t="s">
        <v>342</v>
      </c>
    </row>
    <row r="11" customFormat="false" ht="15" hidden="false" customHeight="false" outlineLevel="0" collapsed="false">
      <c r="A11" s="3" t="s">
        <v>343</v>
      </c>
      <c r="B11" s="3" t="str">
        <f aca="false">IF(COUNTIF(F5:F8,"SÍ")=ROWS(F5:F8),"EMISIÓN HABILITADA","BLOQUEADA — CONFIRMAR PRECIOS")</f>
        <v>EMISIÓN HABILITADA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4" customFormat="false" ht="15" hidden="false" customHeight="false" outlineLevel="0" collapsed="false">
      <c r="A4" s="27" t="s">
        <v>346</v>
      </c>
      <c r="B4" s="27" t="s">
        <v>347</v>
      </c>
    </row>
    <row r="6" customFormat="false" ht="15" hidden="false" customHeight="false" outlineLevel="0" collapsed="false">
      <c r="A6" s="46" t="s">
        <v>348</v>
      </c>
    </row>
    <row r="7" customFormat="false" ht="15" hidden="false" customHeight="false" outlineLevel="0" collapsed="false">
      <c r="A7" s="5" t="s">
        <v>349</v>
      </c>
      <c r="B7" s="44" t="s">
        <v>350</v>
      </c>
      <c r="C7" s="44" t="s">
        <v>351</v>
      </c>
    </row>
    <row r="8" customFormat="false" ht="15" hidden="false" customHeight="false" outlineLevel="0" collapsed="false">
      <c r="A8" s="5" t="s">
        <v>352</v>
      </c>
      <c r="B8" s="44" t="s">
        <v>353</v>
      </c>
      <c r="C8" s="44" t="s">
        <v>354</v>
      </c>
    </row>
    <row r="9" customFormat="false" ht="15" hidden="false" customHeight="false" outlineLevel="0" collapsed="false">
      <c r="A9" s="5" t="s">
        <v>355</v>
      </c>
      <c r="B9" s="44" t="s">
        <v>356</v>
      </c>
      <c r="C9" s="44"/>
    </row>
    <row r="10" customFormat="false" ht="15" hidden="false" customHeight="false" outlineLevel="0" collapsed="false">
      <c r="A10" s="5" t="s">
        <v>357</v>
      </c>
      <c r="B10" s="44" t="s">
        <v>358</v>
      </c>
      <c r="C10" s="44" t="s">
        <v>359</v>
      </c>
    </row>
    <row r="11" customFormat="false" ht="22.35" hidden="false" customHeight="false" outlineLevel="0" collapsed="false">
      <c r="A11" s="5" t="s">
        <v>360</v>
      </c>
      <c r="B11" s="44" t="s">
        <v>361</v>
      </c>
      <c r="C11" s="44"/>
    </row>
    <row r="12" customFormat="false" ht="32.8" hidden="false" customHeight="false" outlineLevel="0" collapsed="false">
      <c r="A12" s="5" t="s">
        <v>362</v>
      </c>
      <c r="B12" s="44" t="s">
        <v>363</v>
      </c>
      <c r="C12" s="44"/>
    </row>
    <row r="14" customFormat="false" ht="19.4" hidden="false" customHeight="false" outlineLevel="0" collapsed="false">
      <c r="A14" s="10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366</v>
      </c>
    </row>
    <row r="4" customFormat="false" ht="15" hidden="false" customHeight="false" outlineLevel="0" collapsed="false">
      <c r="A4" s="3" t="s">
        <v>367</v>
      </c>
      <c r="B4" s="3" t="s">
        <v>368</v>
      </c>
      <c r="E4" s="12" t="s">
        <v>369</v>
      </c>
    </row>
    <row r="6" customFormat="false" ht="15" hidden="false" customHeight="false" outlineLevel="0" collapsed="false">
      <c r="A6" s="12" t="s">
        <v>370</v>
      </c>
      <c r="B6" s="12"/>
      <c r="C6" s="12"/>
      <c r="D6" s="12"/>
      <c r="E6" s="12"/>
    </row>
    <row r="7" customFormat="false" ht="15" hidden="false" customHeight="false" outlineLevel="0" collapsed="false">
      <c r="A7" s="15" t="s">
        <v>371</v>
      </c>
      <c r="B7" s="15" t="s">
        <v>372</v>
      </c>
      <c r="C7" s="15" t="s">
        <v>373</v>
      </c>
      <c r="D7" s="15" t="s">
        <v>374</v>
      </c>
      <c r="E7" s="15" t="s">
        <v>47</v>
      </c>
    </row>
    <row r="8" customFormat="false" ht="15" hidden="false" customHeight="false" outlineLevel="0" collapsed="false">
      <c r="A8" s="7" t="s">
        <v>375</v>
      </c>
      <c r="B8" s="34" t="n">
        <f aca="false">S6_Financiero!$B$7</f>
        <v>6183407.959</v>
      </c>
      <c r="C8" s="47"/>
      <c r="D8" s="25" t="str">
        <f aca="false">IF(C8="","",IF(B8=0,"",C8/B8-1))</f>
        <v/>
      </c>
    </row>
    <row r="9" customFormat="false" ht="15" hidden="false" customHeight="false" outlineLevel="0" collapsed="false">
      <c r="A9" s="7" t="s">
        <v>376</v>
      </c>
      <c r="B9" s="48" t="n">
        <v>4000</v>
      </c>
      <c r="C9" s="49"/>
      <c r="D9" s="25" t="str">
        <f aca="false">IF(C9="","",IF(B9=0,"",C9/B9-1))</f>
        <v/>
      </c>
    </row>
    <row r="10" customFormat="false" ht="15" hidden="false" customHeight="false" outlineLevel="0" collapsed="false">
      <c r="A10" s="7" t="s">
        <v>377</v>
      </c>
      <c r="B10" s="48" t="n">
        <v>40</v>
      </c>
      <c r="C10" s="49"/>
      <c r="D10" s="25" t="str">
        <f aca="false">IF(C10="","",IF(B10=0,"",C10/B10-1))</f>
        <v/>
      </c>
    </row>
    <row r="11" customFormat="false" ht="15" hidden="false" customHeight="false" outlineLevel="0" collapsed="false">
      <c r="A11" s="7" t="s">
        <v>378</v>
      </c>
      <c r="B11" s="25" t="n">
        <v>0.0664</v>
      </c>
      <c r="C11" s="50"/>
      <c r="D11" s="25" t="str">
        <f aca="false">IF(C11="","",IF(B11=0,"",C11/B11-1))</f>
        <v/>
      </c>
    </row>
    <row r="12" customFormat="false" ht="15" hidden="false" customHeight="false" outlineLevel="0" collapsed="false">
      <c r="A12" s="7" t="s">
        <v>379</v>
      </c>
      <c r="B12" s="48" t="n">
        <v>106</v>
      </c>
      <c r="C12" s="49"/>
      <c r="D12" s="25" t="str">
        <f aca="false">IF(C12="","",IF(B12=0,"",C12/B12-1))</f>
        <v/>
      </c>
    </row>
    <row r="13" customFormat="false" ht="15" hidden="false" customHeight="false" outlineLevel="0" collapsed="false">
      <c r="A13" s="7" t="s">
        <v>380</v>
      </c>
      <c r="B13" s="48" t="n">
        <v>25</v>
      </c>
      <c r="C13" s="49"/>
      <c r="D13" s="25" t="str">
        <f aca="false">IF(C13="","",IF(B13=0,"",C13/B13-1))</f>
        <v/>
      </c>
    </row>
    <row r="14" customFormat="false" ht="15" hidden="false" customHeight="false" outlineLevel="0" collapsed="false">
      <c r="A14" s="7" t="s">
        <v>381</v>
      </c>
      <c r="B14" s="26" t="n">
        <v>0</v>
      </c>
      <c r="C14" s="47"/>
      <c r="D14" s="25" t="str">
        <f aca="false">IF(C14="","",IF(B14=0,"",C14/B14-1))</f>
        <v/>
      </c>
    </row>
    <row r="15" customFormat="false" ht="15" hidden="false" customHeight="false" outlineLevel="0" collapsed="false">
      <c r="A15" s="7" t="s">
        <v>382</v>
      </c>
      <c r="B15" s="26" t="n">
        <v>188200</v>
      </c>
      <c r="C15" s="47"/>
      <c r="D15" s="25" t="str">
        <f aca="false">IF(C15="","",IF(B15=0,"",C15/B15-1))</f>
        <v/>
      </c>
    </row>
    <row r="16" customFormat="false" ht="28.35" hidden="false" customHeight="false" outlineLevel="0" collapsed="false">
      <c r="A16" s="12" t="s">
        <v>383</v>
      </c>
      <c r="B16" s="51" t="n">
        <v>40</v>
      </c>
      <c r="C16" s="51" t="n">
        <v>43.1</v>
      </c>
      <c r="D16" s="52" t="n">
        <f aca="false">C16/B16-1</f>
        <v>0.0775000000000001</v>
      </c>
      <c r="E16" s="43" t="s">
        <v>384</v>
      </c>
    </row>
    <row r="18" customFormat="false" ht="15" hidden="false" customHeight="false" outlineLevel="0" collapsed="false">
      <c r="A18" s="5" t="s">
        <v>385</v>
      </c>
      <c r="B18" s="7" t="str">
        <f aca="false">IF(COUNT(C8:C15)=0,"—","REVISAR DESVIACIONES &gt; 5%")</f>
        <v>—</v>
      </c>
      <c r="E18" s="12" t="s">
        <v>386</v>
      </c>
    </row>
  </sheetData>
  <mergeCells count="1"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2026-08-02T01:12:21Z</dcterms:created>
  <dc:creator>openpyxl</dc:creator>
  <dc:description/>
  <dc:language>en-US</dc:language>
  <cp:lastModifiedBy/>
  <dcterms:modified xsi:type="dcterms:W3CDTF">2026-08-02T01:12:24Z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