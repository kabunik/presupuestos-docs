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chelena\Desktop\Zapotlan\"/>
    </mc:Choice>
  </mc:AlternateContent>
  <xr:revisionPtr revIDLastSave="0" documentId="8_{272EB3EB-1C35-4712-BCE3-FEB1548059FD}" xr6:coauthVersionLast="47" xr6:coauthVersionMax="47" xr10:uidLastSave="{00000000-0000-0000-0000-000000000000}"/>
  <bookViews>
    <workbookView xWindow="-108" yWindow="-108" windowWidth="23256" windowHeight="14016" xr2:uid="{5B51520F-43A1-457C-840C-C792714678DC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4" i="1" l="1"/>
  <c r="T14" i="1"/>
  <c r="I14" i="1"/>
  <c r="J14" i="1"/>
  <c r="F20" i="1"/>
  <c r="G20" i="1"/>
  <c r="H20" i="1"/>
  <c r="J20" i="1"/>
  <c r="K20" i="1"/>
  <c r="L20" i="1"/>
  <c r="M20" i="1"/>
  <c r="N20" i="1"/>
  <c r="P20" i="1"/>
  <c r="Q20" i="1"/>
  <c r="R20" i="1"/>
  <c r="S20" i="1"/>
  <c r="U20" i="1"/>
  <c r="E20" i="1"/>
  <c r="D9" i="1"/>
  <c r="D5" i="1"/>
  <c r="F13" i="1"/>
  <c r="G13" i="1"/>
  <c r="H13" i="1"/>
  <c r="J13" i="1"/>
  <c r="K13" i="1"/>
  <c r="L13" i="1"/>
  <c r="M13" i="1"/>
  <c r="N13" i="1"/>
  <c r="P13" i="1"/>
  <c r="Q13" i="1"/>
  <c r="R13" i="1"/>
  <c r="S13" i="1"/>
  <c r="U13" i="1"/>
  <c r="E13" i="1"/>
  <c r="F12" i="1"/>
  <c r="G12" i="1"/>
  <c r="E12" i="1"/>
  <c r="G10" i="1"/>
  <c r="H10" i="1"/>
  <c r="J10" i="1"/>
  <c r="K10" i="1"/>
  <c r="L10" i="1"/>
  <c r="M10" i="1"/>
  <c r="N10" i="1"/>
  <c r="P10" i="1"/>
  <c r="Q10" i="1"/>
  <c r="R10" i="1"/>
  <c r="S10" i="1"/>
  <c r="U10" i="1"/>
  <c r="F10" i="1"/>
  <c r="F8" i="1"/>
  <c r="G8" i="1"/>
  <c r="E8" i="1"/>
  <c r="F6" i="1"/>
  <c r="G6" i="1"/>
  <c r="H6" i="1"/>
  <c r="J6" i="1"/>
  <c r="K6" i="1"/>
  <c r="L6" i="1"/>
  <c r="M6" i="1"/>
  <c r="N6" i="1"/>
  <c r="P6" i="1"/>
  <c r="Q6" i="1"/>
  <c r="R6" i="1"/>
  <c r="S6" i="1"/>
  <c r="U6" i="1"/>
  <c r="E6" i="1"/>
  <c r="V7" i="1"/>
  <c r="V9" i="1"/>
  <c r="V11" i="1"/>
  <c r="V5" i="1"/>
  <c r="V8" i="1" l="1"/>
  <c r="J16" i="1"/>
  <c r="U14" i="1"/>
  <c r="U16" i="1" s="1"/>
  <c r="E14" i="1"/>
  <c r="E16" i="1" s="1"/>
  <c r="M14" i="1"/>
  <c r="M16" i="1" s="1"/>
  <c r="S14" i="1"/>
  <c r="S16" i="1" s="1"/>
  <c r="N17" i="1"/>
  <c r="L17" i="1"/>
  <c r="R17" i="1"/>
  <c r="F14" i="1"/>
  <c r="F16" i="1" s="1"/>
  <c r="K17" i="1"/>
  <c r="Q17" i="1"/>
  <c r="Q14" i="1"/>
  <c r="Q16" i="1" s="1"/>
  <c r="R14" i="1"/>
  <c r="R16" i="1" s="1"/>
  <c r="H14" i="1"/>
  <c r="H16" i="1" s="1"/>
  <c r="P17" i="1"/>
  <c r="N14" i="1"/>
  <c r="N16" i="1" s="1"/>
  <c r="K14" i="1"/>
  <c r="K16" i="1" s="1"/>
  <c r="N21" i="1"/>
  <c r="O15" i="1" s="1"/>
  <c r="J17" i="1"/>
  <c r="S21" i="1"/>
  <c r="T15" i="1" s="1"/>
  <c r="M17" i="1"/>
  <c r="H21" i="1"/>
  <c r="I15" i="1" s="1"/>
  <c r="P14" i="1"/>
  <c r="P16" i="1" s="1"/>
  <c r="G14" i="1"/>
  <c r="G16" i="1" s="1"/>
  <c r="L14" i="1"/>
  <c r="L16" i="1" s="1"/>
  <c r="U17" i="1"/>
  <c r="S17" i="1"/>
  <c r="G17" i="1"/>
  <c r="V10" i="1"/>
  <c r="H17" i="1"/>
  <c r="F17" i="1"/>
  <c r="V6" i="1"/>
  <c r="E17" i="1"/>
  <c r="I16" i="1" l="1"/>
</calcChain>
</file>

<file path=xl/sharedStrings.xml><?xml version="1.0" encoding="utf-8"?>
<sst xmlns="http://schemas.openxmlformats.org/spreadsheetml/2006/main" count="29" uniqueCount="24">
  <si>
    <t>Carga de planta Metalitec</t>
  </si>
  <si>
    <t>Proyecto</t>
  </si>
  <si>
    <t>Ton</t>
  </si>
  <si>
    <t>Ao Latam</t>
  </si>
  <si>
    <t>Ternium</t>
  </si>
  <si>
    <t>Mango</t>
  </si>
  <si>
    <t>Toneladas/sem</t>
  </si>
  <si>
    <t>Personas</t>
  </si>
  <si>
    <t>Contratistas</t>
  </si>
  <si>
    <t>HH</t>
  </si>
  <si>
    <t>HH totales</t>
  </si>
  <si>
    <t>Mezcla</t>
  </si>
  <si>
    <t>mezcla X mes</t>
  </si>
  <si>
    <t>Precio Venta</t>
  </si>
  <si>
    <t>Wellness</t>
  </si>
  <si>
    <t>Precio Mezcla</t>
  </si>
  <si>
    <t>AGOSTO</t>
  </si>
  <si>
    <t>SEPTIEMBRE</t>
  </si>
  <si>
    <t>OCTUBRE</t>
  </si>
  <si>
    <t>HH/Ton</t>
  </si>
  <si>
    <t>Propias armado+sold</t>
  </si>
  <si>
    <t>Habilitado</t>
  </si>
  <si>
    <t>Totales</t>
  </si>
  <si>
    <t>Punto de Equilibrio Ton/mes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</si>
</sst>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[$$-80A]#,##0.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3" fontId="0" fillId="0" borderId="1" xfId="0" applyNumberFormat="1" applyBorder="1"/>
    <xf numFmtId="0" fontId="1" fillId="0" borderId="0" xfId="0" applyFont="1"/>
    <xf numFmtId="0" fontId="2" fillId="0" borderId="0" xfId="0" applyFont="1"/>
    <xf numFmtId="16" fontId="1" fillId="0" borderId="4" xfId="0" applyNumberFormat="1" applyFont="1" applyBorder="1"/>
    <xf numFmtId="3" fontId="0" fillId="0" borderId="4" xfId="0" applyNumberFormat="1" applyBorder="1"/>
    <xf numFmtId="0" fontId="0" fillId="0" borderId="4" xfId="0" applyBorder="1"/>
    <xf numFmtId="16" fontId="1" fillId="2" borderId="6" xfId="0" applyNumberFormat="1" applyFont="1" applyFill="1" applyBorder="1"/>
    <xf numFmtId="16" fontId="1" fillId="2" borderId="7" xfId="0" applyNumberFormat="1" applyFont="1" applyFill="1" applyBorder="1"/>
    <xf numFmtId="16" fontId="1" fillId="3" borderId="5" xfId="0" applyNumberFormat="1" applyFont="1" applyFill="1" applyBorder="1"/>
    <xf numFmtId="16" fontId="1" fillId="3" borderId="6" xfId="0" applyNumberFormat="1" applyFont="1" applyFill="1" applyBorder="1"/>
    <xf numFmtId="16" fontId="1" fillId="3" borderId="7" xfId="0" applyNumberFormat="1" applyFont="1" applyFill="1" applyBorder="1"/>
    <xf numFmtId="16" fontId="1" fillId="4" borderId="5" xfId="0" applyNumberFormat="1" applyFont="1" applyFill="1" applyBorder="1"/>
    <xf numFmtId="16" fontId="1" fillId="4" borderId="6" xfId="0" applyNumberFormat="1" applyFont="1" applyFill="1" applyBorder="1"/>
    <xf numFmtId="16" fontId="1" fillId="4" borderId="7" xfId="0" applyNumberFormat="1" applyFont="1" applyFill="1" applyBorder="1"/>
    <xf numFmtId="0" fontId="0" fillId="5" borderId="3" xfId="0" applyFill="1" applyBorder="1"/>
    <xf numFmtId="0" fontId="0" fillId="5" borderId="1" xfId="0" applyFill="1" applyBorder="1"/>
    <xf numFmtId="0" fontId="1" fillId="0" borderId="0" xfId="0" applyFont="1" applyAlignment="1">
      <alignment horizontal="center"/>
    </xf>
    <xf numFmtId="0" fontId="0" fillId="5" borderId="4" xfId="0" applyFill="1" applyBorder="1"/>
    <xf numFmtId="0" fontId="2" fillId="5" borderId="3" xfId="0" applyFont="1" applyFill="1" applyBorder="1" applyAlignment="1">
      <alignment horizontal="center"/>
    </xf>
    <xf numFmtId="3" fontId="0" fillId="2" borderId="8" xfId="0" applyNumberFormat="1" applyFill="1" applyBorder="1" applyAlignment="1">
      <alignment horizontal="center"/>
    </xf>
    <xf numFmtId="3" fontId="0" fillId="2" borderId="1" xfId="0" applyNumberFormat="1" applyFill="1" applyBorder="1" applyAlignment="1">
      <alignment horizontal="center"/>
    </xf>
    <xf numFmtId="3" fontId="0" fillId="2" borderId="9" xfId="0" applyNumberFormat="1" applyFill="1" applyBorder="1" applyAlignment="1">
      <alignment horizontal="center"/>
    </xf>
    <xf numFmtId="3" fontId="0" fillId="3" borderId="8" xfId="0" applyNumberFormat="1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3" fontId="0" fillId="3" borderId="9" xfId="0" applyNumberFormat="1" applyFill="1" applyBorder="1" applyAlignment="1">
      <alignment horizontal="center"/>
    </xf>
    <xf numFmtId="3" fontId="0" fillId="4" borderId="8" xfId="0" applyNumberFormat="1" applyFill="1" applyBorder="1" applyAlignment="1">
      <alignment horizontal="center"/>
    </xf>
    <xf numFmtId="3" fontId="0" fillId="4" borderId="1" xfId="0" applyNumberFormat="1" applyFill="1" applyBorder="1" applyAlignment="1">
      <alignment horizontal="center"/>
    </xf>
    <xf numFmtId="3" fontId="0" fillId="4" borderId="9" xfId="0" applyNumberForma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17" xfId="0" applyBorder="1"/>
    <xf numFmtId="0" fontId="1" fillId="0" borderId="15" xfId="0" applyFont="1" applyBorder="1"/>
    <xf numFmtId="3" fontId="2" fillId="5" borderId="4" xfId="0" applyNumberFormat="1" applyFont="1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3" fontId="3" fillId="2" borderId="4" xfId="0" applyNumberFormat="1" applyFont="1" applyFill="1" applyBorder="1" applyAlignment="1">
      <alignment horizontal="center"/>
    </xf>
    <xf numFmtId="16" fontId="1" fillId="2" borderId="19" xfId="0" applyNumberFormat="1" applyFont="1" applyFill="1" applyBorder="1"/>
    <xf numFmtId="3" fontId="0" fillId="2" borderId="18" xfId="0" applyNumberForma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3" fontId="1" fillId="0" borderId="0" xfId="0" applyNumberFormat="1" applyFont="1" applyAlignment="1">
      <alignment horizontal="center"/>
    </xf>
    <xf numFmtId="16" fontId="1" fillId="3" borderId="19" xfId="0" applyNumberFormat="1" applyFont="1" applyFill="1" applyBorder="1"/>
    <xf numFmtId="3" fontId="0" fillId="3" borderId="18" xfId="0" applyNumberFormat="1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0" fillId="3" borderId="18" xfId="0" applyFill="1" applyBorder="1" applyAlignment="1">
      <alignment horizontal="center"/>
    </xf>
    <xf numFmtId="16" fontId="1" fillId="4" borderId="20" xfId="0" applyNumberFormat="1" applyFont="1" applyFill="1" applyBorder="1"/>
    <xf numFmtId="3" fontId="0" fillId="4" borderId="18" xfId="0" applyNumberFormat="1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164" fontId="2" fillId="2" borderId="0" xfId="0" applyNumberFormat="1" applyFont="1" applyFill="1" applyAlignment="1">
      <alignment horizontal="center"/>
    </xf>
    <xf numFmtId="3" fontId="1" fillId="2" borderId="10" xfId="0" applyNumberFormat="1" applyFont="1" applyFill="1" applyBorder="1" applyAlignment="1">
      <alignment horizontal="center"/>
    </xf>
    <xf numFmtId="3" fontId="1" fillId="3" borderId="10" xfId="0" applyNumberFormat="1" applyFont="1" applyFill="1" applyBorder="1" applyAlignment="1">
      <alignment horizontal="center"/>
    </xf>
    <xf numFmtId="3" fontId="1" fillId="4" borderId="10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3" fontId="3" fillId="2" borderId="15" xfId="0" applyNumberFormat="1" applyFont="1" applyFill="1" applyBorder="1" applyAlignment="1">
      <alignment horizontal="center"/>
    </xf>
    <xf numFmtId="0" fontId="3" fillId="5" borderId="3" xfId="0" applyFont="1" applyFill="1" applyBorder="1"/>
    <xf numFmtId="0" fontId="2" fillId="0" borderId="25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16" fontId="1" fillId="2" borderId="26" xfId="0" applyNumberFormat="1" applyFont="1" applyFill="1" applyBorder="1"/>
    <xf numFmtId="3" fontId="3" fillId="3" borderId="8" xfId="0" applyNumberFormat="1" applyFont="1" applyFill="1" applyBorder="1" applyAlignment="1">
      <alignment horizontal="center"/>
    </xf>
    <xf numFmtId="3" fontId="3" fillId="4" borderId="8" xfId="0" applyNumberFormat="1" applyFont="1" applyFill="1" applyBorder="1" applyAlignment="1">
      <alignment horizontal="center"/>
    </xf>
    <xf numFmtId="3" fontId="3" fillId="3" borderId="4" xfId="0" applyNumberFormat="1" applyFont="1" applyFill="1" applyBorder="1" applyAlignment="1">
      <alignment horizontal="center"/>
    </xf>
    <xf numFmtId="165" fontId="3" fillId="6" borderId="4" xfId="0" applyNumberFormat="1" applyFont="1" applyFill="1" applyBorder="1" applyAlignment="1">
      <alignment horizontal="center"/>
    </xf>
    <xf numFmtId="165" fontId="3" fillId="6" borderId="8" xfId="0" applyNumberFormat="1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16" xfId="0" applyFont="1" applyBorder="1"/>
    <xf numFmtId="0" fontId="3" fillId="0" borderId="17" xfId="0" applyFont="1" applyBorder="1"/>
    <xf numFmtId="0" fontId="0" fillId="5" borderId="27" xfId="0" applyFill="1" applyBorder="1"/>
    <xf numFmtId="0" fontId="0" fillId="5" borderId="28" xfId="0" applyFill="1" applyBorder="1"/>
    <xf numFmtId="0" fontId="0" fillId="5" borderId="29" xfId="0" applyFill="1" applyBorder="1"/>
    <xf numFmtId="3" fontId="3" fillId="2" borderId="30" xfId="0" applyNumberFormat="1" applyFont="1" applyFill="1" applyBorder="1" applyAlignment="1">
      <alignment horizontal="center"/>
    </xf>
    <xf numFmtId="3" fontId="3" fillId="2" borderId="17" xfId="0" applyNumberFormat="1" applyFont="1" applyFill="1" applyBorder="1" applyAlignment="1">
      <alignment horizontal="center"/>
    </xf>
    <xf numFmtId="3" fontId="3" fillId="3" borderId="30" xfId="0" applyNumberFormat="1" applyFont="1" applyFill="1" applyBorder="1" applyAlignment="1">
      <alignment horizontal="center"/>
    </xf>
    <xf numFmtId="3" fontId="2" fillId="3" borderId="30" xfId="0" applyNumberFormat="1" applyFont="1" applyFill="1" applyBorder="1" applyAlignment="1">
      <alignment horizontal="center"/>
    </xf>
    <xf numFmtId="3" fontId="3" fillId="4" borderId="30" xfId="0" applyNumberFormat="1" applyFont="1" applyFill="1" applyBorder="1" applyAlignment="1">
      <alignment horizontal="center"/>
    </xf>
    <xf numFmtId="3" fontId="2" fillId="4" borderId="30" xfId="0" applyNumberFormat="1" applyFont="1" applyFill="1" applyBorder="1" applyAlignment="1">
      <alignment horizontal="center"/>
    </xf>
    <xf numFmtId="3" fontId="2" fillId="0" borderId="13" xfId="0" applyNumberFormat="1" applyFont="1" applyBorder="1" applyAlignment="1">
      <alignment horizontal="center"/>
    </xf>
    <xf numFmtId="0" fontId="1" fillId="0" borderId="14" xfId="0" applyFont="1" applyBorder="1"/>
    <xf numFmtId="0" fontId="0" fillId="5" borderId="26" xfId="0" applyFill="1" applyBorder="1"/>
    <xf numFmtId="0" fontId="0" fillId="5" borderId="6" xfId="0" applyFill="1" applyBorder="1"/>
    <xf numFmtId="0" fontId="0" fillId="5" borderId="31" xfId="0" applyFill="1" applyBorder="1"/>
    <xf numFmtId="3" fontId="0" fillId="2" borderId="5" xfId="0" applyNumberFormat="1" applyFill="1" applyBorder="1" applyAlignment="1">
      <alignment horizontal="center"/>
    </xf>
    <xf numFmtId="3" fontId="0" fillId="2" borderId="6" xfId="0" applyNumberFormat="1" applyFill="1" applyBorder="1" applyAlignment="1">
      <alignment horizontal="center"/>
    </xf>
    <xf numFmtId="3" fontId="0" fillId="2" borderId="7" xfId="0" applyNumberFormat="1" applyFill="1" applyBorder="1" applyAlignment="1">
      <alignment horizontal="center"/>
    </xf>
    <xf numFmtId="3" fontId="0" fillId="2" borderId="19" xfId="0" applyNumberFormat="1" applyFill="1" applyBorder="1" applyAlignment="1">
      <alignment horizontal="center"/>
    </xf>
    <xf numFmtId="3" fontId="0" fillId="3" borderId="5" xfId="0" applyNumberFormat="1" applyFill="1" applyBorder="1" applyAlignment="1">
      <alignment horizontal="center"/>
    </xf>
    <xf numFmtId="3" fontId="0" fillId="3" borderId="6" xfId="0" applyNumberFormat="1" applyFill="1" applyBorder="1" applyAlignment="1">
      <alignment horizontal="center"/>
    </xf>
    <xf numFmtId="3" fontId="0" fillId="3" borderId="7" xfId="0" applyNumberFormat="1" applyFill="1" applyBorder="1" applyAlignment="1">
      <alignment horizontal="center"/>
    </xf>
    <xf numFmtId="3" fontId="0" fillId="3" borderId="19" xfId="0" applyNumberFormat="1" applyFill="1" applyBorder="1" applyAlignment="1">
      <alignment horizontal="center"/>
    </xf>
    <xf numFmtId="3" fontId="0" fillId="4" borderId="5" xfId="0" applyNumberFormat="1" applyFill="1" applyBorder="1" applyAlignment="1">
      <alignment horizontal="center"/>
    </xf>
    <xf numFmtId="3" fontId="0" fillId="4" borderId="6" xfId="0" applyNumberFormat="1" applyFill="1" applyBorder="1" applyAlignment="1">
      <alignment horizontal="center"/>
    </xf>
    <xf numFmtId="3" fontId="0" fillId="4" borderId="7" xfId="0" applyNumberFormat="1" applyFill="1" applyBorder="1" applyAlignment="1">
      <alignment horizontal="center"/>
    </xf>
    <xf numFmtId="3" fontId="0" fillId="4" borderId="19" xfId="0" applyNumberFormat="1" applyFill="1" applyBorder="1" applyAlignment="1">
      <alignment horizontal="center"/>
    </xf>
    <xf numFmtId="3" fontId="0" fillId="0" borderId="32" xfId="0" applyNumberFormat="1" applyBorder="1"/>
    <xf numFmtId="3" fontId="0" fillId="0" borderId="33" xfId="0" applyNumberFormat="1" applyBorder="1"/>
    <xf numFmtId="0" fontId="0" fillId="0" borderId="33" xfId="0" applyBorder="1"/>
    <xf numFmtId="0" fontId="0" fillId="5" borderId="21" xfId="0" applyFill="1" applyBorder="1"/>
    <xf numFmtId="0" fontId="0" fillId="5" borderId="11" xfId="0" applyFill="1" applyBorder="1"/>
    <xf numFmtId="0" fontId="0" fillId="5" borderId="34" xfId="0" applyFill="1" applyBorder="1"/>
    <xf numFmtId="3" fontId="1" fillId="7" borderId="16" xfId="0" applyNumberFormat="1" applyFont="1" applyFill="1" applyBorder="1" applyAlignment="1">
      <alignment horizontal="center"/>
    </xf>
    <xf numFmtId="3" fontId="3" fillId="7" borderId="8" xfId="0" applyNumberFormat="1" applyFont="1" applyFill="1" applyBorder="1" applyAlignment="1">
      <alignment horizontal="center"/>
    </xf>
    <xf numFmtId="3" fontId="3" fillId="7" borderId="30" xfId="0" applyNumberFormat="1" applyFont="1" applyFill="1" applyBorder="1" applyAlignment="1">
      <alignment horizontal="center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51233-9CB5-4CFE-8F47-2B8E5A1B66B5}">
  <dimension ref="A1:V26"/>
  <sheetViews>
    <sheetView tabSelected="1" workbookViewId="0">
      <selection activeCell="A22" sqref="A22"/>
    </sheetView>
  </sheetViews>
  <sheetFormatPr baseColWidth="10" defaultRowHeight="14.4" x14ac:dyDescent="0.3"/>
  <cols>
    <col min="1" max="1" width="18.33203125" customWidth="1"/>
    <col min="2" max="2" width="7" bestFit="1" customWidth="1"/>
    <col min="3" max="3" width="8.109375" customWidth="1"/>
    <col min="4" max="4" width="7.109375" customWidth="1"/>
    <col min="5" max="5" width="6" bestFit="1" customWidth="1"/>
    <col min="6" max="6" width="6.77734375" bestFit="1" customWidth="1"/>
    <col min="7" max="7" width="7.109375" bestFit="1" customWidth="1"/>
    <col min="8" max="8" width="6.77734375" bestFit="1" customWidth="1"/>
    <col min="9" max="9" width="7.44140625" customWidth="1"/>
    <col min="10" max="10" width="6.77734375" bestFit="1" customWidth="1"/>
    <col min="11" max="11" width="6.21875" bestFit="1" customWidth="1"/>
    <col min="12" max="14" width="7.21875" bestFit="1" customWidth="1"/>
    <col min="15" max="15" width="9.5546875" customWidth="1"/>
    <col min="16" max="16" width="6" bestFit="1" customWidth="1"/>
    <col min="17" max="18" width="6.44140625" bestFit="1" customWidth="1"/>
    <col min="19" max="19" width="7" bestFit="1" customWidth="1"/>
    <col min="20" max="20" width="8" customWidth="1"/>
    <col min="21" max="21" width="5.77734375" bestFit="1" customWidth="1"/>
    <col min="22" max="22" width="9" bestFit="1" customWidth="1"/>
  </cols>
  <sheetData>
    <row r="1" spans="1:22" ht="18.600000000000001" thickBot="1" x14ac:dyDescent="0.4">
      <c r="A1" s="3" t="s">
        <v>0</v>
      </c>
    </row>
    <row r="2" spans="1:22" ht="15" thickBot="1" x14ac:dyDescent="0.35">
      <c r="I2" s="119" t="s">
        <v>12</v>
      </c>
      <c r="O2" s="119" t="s">
        <v>12</v>
      </c>
      <c r="T2" s="119" t="s">
        <v>12</v>
      </c>
    </row>
    <row r="3" spans="1:22" ht="16.2" thickBot="1" x14ac:dyDescent="0.35">
      <c r="D3" s="121" t="s">
        <v>13</v>
      </c>
      <c r="E3" s="122" t="s">
        <v>16</v>
      </c>
      <c r="F3" s="122"/>
      <c r="G3" s="122"/>
      <c r="H3" s="123"/>
      <c r="I3" s="120"/>
      <c r="J3" s="124" t="s">
        <v>17</v>
      </c>
      <c r="K3" s="125"/>
      <c r="L3" s="125"/>
      <c r="M3" s="125"/>
      <c r="N3" s="126"/>
      <c r="O3" s="120"/>
      <c r="P3" s="124" t="s">
        <v>18</v>
      </c>
      <c r="Q3" s="125"/>
      <c r="R3" s="125"/>
      <c r="S3" s="126"/>
      <c r="T3" s="120"/>
    </row>
    <row r="4" spans="1:22" ht="18" x14ac:dyDescent="0.35">
      <c r="A4" s="73" t="s">
        <v>1</v>
      </c>
      <c r="B4" s="74" t="s">
        <v>2</v>
      </c>
      <c r="C4" s="72" t="s">
        <v>19</v>
      </c>
      <c r="D4" s="121"/>
      <c r="E4" s="75">
        <v>46237</v>
      </c>
      <c r="F4" s="7">
        <v>46244</v>
      </c>
      <c r="G4" s="7">
        <v>46251</v>
      </c>
      <c r="H4" s="8">
        <v>46258</v>
      </c>
      <c r="I4" s="54"/>
      <c r="J4" s="9">
        <v>46265</v>
      </c>
      <c r="K4" s="10">
        <v>46272</v>
      </c>
      <c r="L4" s="10">
        <v>46279</v>
      </c>
      <c r="M4" s="10">
        <v>46286</v>
      </c>
      <c r="N4" s="11">
        <v>46293</v>
      </c>
      <c r="O4" s="59"/>
      <c r="P4" s="12">
        <v>46300</v>
      </c>
      <c r="Q4" s="13">
        <v>46307</v>
      </c>
      <c r="R4" s="13">
        <v>46314</v>
      </c>
      <c r="S4" s="14">
        <v>46321</v>
      </c>
      <c r="T4" s="63"/>
      <c r="U4" s="4">
        <v>46328</v>
      </c>
      <c r="V4" s="17" t="s">
        <v>22</v>
      </c>
    </row>
    <row r="5" spans="1:22" ht="18" x14ac:dyDescent="0.35">
      <c r="A5" s="48" t="s">
        <v>3</v>
      </c>
      <c r="B5" s="51">
        <v>2200</v>
      </c>
      <c r="C5" s="70">
        <v>42</v>
      </c>
      <c r="D5" s="19">
        <f>9.33*1.21</f>
        <v>11.289299999999999</v>
      </c>
      <c r="E5" s="20">
        <v>40</v>
      </c>
      <c r="F5" s="21">
        <v>80</v>
      </c>
      <c r="G5" s="21">
        <v>140</v>
      </c>
      <c r="H5" s="22">
        <v>175</v>
      </c>
      <c r="I5" s="55"/>
      <c r="J5" s="23">
        <v>175</v>
      </c>
      <c r="K5" s="24">
        <v>175</v>
      </c>
      <c r="L5" s="24">
        <v>175</v>
      </c>
      <c r="M5" s="24">
        <v>175</v>
      </c>
      <c r="N5" s="25">
        <v>175</v>
      </c>
      <c r="O5" s="60"/>
      <c r="P5" s="26">
        <v>175</v>
      </c>
      <c r="Q5" s="27">
        <v>175</v>
      </c>
      <c r="R5" s="27">
        <v>175</v>
      </c>
      <c r="S5" s="27">
        <v>175</v>
      </c>
      <c r="T5" s="64"/>
      <c r="U5" s="5">
        <v>190</v>
      </c>
      <c r="V5" s="1">
        <f>SUM(E5:U5)</f>
        <v>2200</v>
      </c>
    </row>
    <row r="6" spans="1:22" ht="18" x14ac:dyDescent="0.35">
      <c r="A6" s="48"/>
      <c r="B6" s="51"/>
      <c r="C6" s="70" t="s">
        <v>9</v>
      </c>
      <c r="D6" s="19"/>
      <c r="E6" s="20">
        <f>+E5*$C$5</f>
        <v>1680</v>
      </c>
      <c r="F6" s="21">
        <f t="shared" ref="F6:U6" si="0">+F5*$C$5</f>
        <v>3360</v>
      </c>
      <c r="G6" s="21">
        <f t="shared" si="0"/>
        <v>5880</v>
      </c>
      <c r="H6" s="22">
        <f t="shared" si="0"/>
        <v>7350</v>
      </c>
      <c r="I6" s="55"/>
      <c r="J6" s="23">
        <f t="shared" si="0"/>
        <v>7350</v>
      </c>
      <c r="K6" s="24">
        <f t="shared" si="0"/>
        <v>7350</v>
      </c>
      <c r="L6" s="24">
        <f t="shared" si="0"/>
        <v>7350</v>
      </c>
      <c r="M6" s="24">
        <f t="shared" si="0"/>
        <v>7350</v>
      </c>
      <c r="N6" s="25">
        <f t="shared" si="0"/>
        <v>7350</v>
      </c>
      <c r="O6" s="60"/>
      <c r="P6" s="26">
        <f t="shared" si="0"/>
        <v>7350</v>
      </c>
      <c r="Q6" s="27">
        <f t="shared" si="0"/>
        <v>7350</v>
      </c>
      <c r="R6" s="27">
        <f t="shared" si="0"/>
        <v>7350</v>
      </c>
      <c r="S6" s="28">
        <f t="shared" si="0"/>
        <v>7350</v>
      </c>
      <c r="T6" s="28"/>
      <c r="U6" s="5">
        <f t="shared" si="0"/>
        <v>7980</v>
      </c>
      <c r="V6" s="1">
        <f t="shared" ref="V6:V11" si="1">SUM(E6:U6)</f>
        <v>92400</v>
      </c>
    </row>
    <row r="7" spans="1:22" ht="18" x14ac:dyDescent="0.35">
      <c r="A7" s="48" t="s">
        <v>4</v>
      </c>
      <c r="B7" s="51">
        <v>56</v>
      </c>
      <c r="C7" s="70">
        <v>48</v>
      </c>
      <c r="D7" s="19">
        <v>15</v>
      </c>
      <c r="E7" s="20">
        <v>20</v>
      </c>
      <c r="F7" s="21">
        <v>20</v>
      </c>
      <c r="G7" s="21">
        <v>16</v>
      </c>
      <c r="H7" s="22"/>
      <c r="I7" s="55"/>
      <c r="J7" s="23"/>
      <c r="K7" s="24"/>
      <c r="L7" s="24"/>
      <c r="M7" s="24"/>
      <c r="N7" s="25"/>
      <c r="O7" s="60"/>
      <c r="P7" s="26"/>
      <c r="Q7" s="27"/>
      <c r="R7" s="27"/>
      <c r="S7" s="28"/>
      <c r="T7" s="64"/>
      <c r="U7" s="5"/>
      <c r="V7" s="1">
        <f t="shared" si="1"/>
        <v>56</v>
      </c>
    </row>
    <row r="8" spans="1:22" ht="18" x14ac:dyDescent="0.35">
      <c r="A8" s="48"/>
      <c r="B8" s="51"/>
      <c r="C8" s="70" t="s">
        <v>9</v>
      </c>
      <c r="D8" s="19"/>
      <c r="E8" s="20">
        <f>+$C$7*E7</f>
        <v>960</v>
      </c>
      <c r="F8" s="21">
        <f t="shared" ref="F8:G8" si="2">+$C$7*F7</f>
        <v>960</v>
      </c>
      <c r="G8" s="21">
        <f t="shared" si="2"/>
        <v>768</v>
      </c>
      <c r="H8" s="22"/>
      <c r="I8" s="55"/>
      <c r="J8" s="23"/>
      <c r="K8" s="24"/>
      <c r="L8" s="24"/>
      <c r="M8" s="24"/>
      <c r="N8" s="25"/>
      <c r="O8" s="60"/>
      <c r="P8" s="26"/>
      <c r="Q8" s="27"/>
      <c r="R8" s="27"/>
      <c r="S8" s="28"/>
      <c r="T8" s="64"/>
      <c r="U8" s="5"/>
      <c r="V8" s="1">
        <f t="shared" si="1"/>
        <v>2688</v>
      </c>
    </row>
    <row r="9" spans="1:22" ht="18" x14ac:dyDescent="0.35">
      <c r="A9" s="48" t="s">
        <v>14</v>
      </c>
      <c r="B9" s="51">
        <v>750</v>
      </c>
      <c r="C9" s="70">
        <v>25</v>
      </c>
      <c r="D9" s="19">
        <f>12.09*1.21</f>
        <v>14.6289</v>
      </c>
      <c r="E9" s="20"/>
      <c r="F9" s="21">
        <v>20</v>
      </c>
      <c r="G9" s="21">
        <v>50</v>
      </c>
      <c r="H9" s="22">
        <v>60</v>
      </c>
      <c r="I9" s="55"/>
      <c r="J9" s="23">
        <v>60</v>
      </c>
      <c r="K9" s="24">
        <v>60</v>
      </c>
      <c r="L9" s="24">
        <v>60</v>
      </c>
      <c r="M9" s="24">
        <v>60</v>
      </c>
      <c r="N9" s="25">
        <v>60</v>
      </c>
      <c r="O9" s="60"/>
      <c r="P9" s="26">
        <v>60</v>
      </c>
      <c r="Q9" s="27">
        <v>60</v>
      </c>
      <c r="R9" s="27">
        <v>60</v>
      </c>
      <c r="S9" s="28">
        <v>60</v>
      </c>
      <c r="T9" s="64"/>
      <c r="U9" s="5">
        <v>20</v>
      </c>
      <c r="V9" s="1">
        <f t="shared" si="1"/>
        <v>690</v>
      </c>
    </row>
    <row r="10" spans="1:22" ht="18" x14ac:dyDescent="0.35">
      <c r="A10" s="48"/>
      <c r="B10" s="51"/>
      <c r="C10" s="70" t="s">
        <v>9</v>
      </c>
      <c r="D10" s="19"/>
      <c r="E10" s="20"/>
      <c r="F10" s="21">
        <f>+$C$9*F9</f>
        <v>500</v>
      </c>
      <c r="G10" s="21">
        <f t="shared" ref="G10:U10" si="3">+$C$9*G9</f>
        <v>1250</v>
      </c>
      <c r="H10" s="22">
        <f t="shared" si="3"/>
        <v>1500</v>
      </c>
      <c r="I10" s="55"/>
      <c r="J10" s="23">
        <f t="shared" si="3"/>
        <v>1500</v>
      </c>
      <c r="K10" s="24">
        <f t="shared" si="3"/>
        <v>1500</v>
      </c>
      <c r="L10" s="24">
        <f t="shared" si="3"/>
        <v>1500</v>
      </c>
      <c r="M10" s="24">
        <f t="shared" si="3"/>
        <v>1500</v>
      </c>
      <c r="N10" s="25">
        <f t="shared" si="3"/>
        <v>1500</v>
      </c>
      <c r="O10" s="60"/>
      <c r="P10" s="26">
        <f t="shared" si="3"/>
        <v>1500</v>
      </c>
      <c r="Q10" s="27">
        <f t="shared" si="3"/>
        <v>1500</v>
      </c>
      <c r="R10" s="27">
        <f t="shared" si="3"/>
        <v>1500</v>
      </c>
      <c r="S10" s="28">
        <f t="shared" si="3"/>
        <v>1500</v>
      </c>
      <c r="T10" s="28"/>
      <c r="U10" s="5">
        <f t="shared" si="3"/>
        <v>500</v>
      </c>
      <c r="V10" s="1">
        <f t="shared" si="1"/>
        <v>17250</v>
      </c>
    </row>
    <row r="11" spans="1:22" ht="18" x14ac:dyDescent="0.35">
      <c r="A11" s="48" t="s">
        <v>5</v>
      </c>
      <c r="B11" s="51">
        <v>35</v>
      </c>
      <c r="C11" s="70">
        <v>35</v>
      </c>
      <c r="D11" s="19">
        <v>12</v>
      </c>
      <c r="E11" s="20">
        <v>5</v>
      </c>
      <c r="F11" s="21">
        <v>5</v>
      </c>
      <c r="G11" s="21">
        <v>25</v>
      </c>
      <c r="H11" s="22"/>
      <c r="I11" s="55"/>
      <c r="J11" s="23"/>
      <c r="K11" s="24"/>
      <c r="L11" s="24"/>
      <c r="M11" s="24"/>
      <c r="N11" s="25"/>
      <c r="O11" s="60"/>
      <c r="P11" s="26"/>
      <c r="Q11" s="27"/>
      <c r="R11" s="27"/>
      <c r="S11" s="28"/>
      <c r="T11" s="64"/>
      <c r="U11" s="5"/>
      <c r="V11" s="1">
        <f t="shared" si="1"/>
        <v>35</v>
      </c>
    </row>
    <row r="12" spans="1:22" ht="18" x14ac:dyDescent="0.35">
      <c r="A12" s="49"/>
      <c r="B12" s="52"/>
      <c r="C12" s="70" t="s">
        <v>9</v>
      </c>
      <c r="D12" s="19"/>
      <c r="E12" s="20">
        <f>+$C$11*E11</f>
        <v>175</v>
      </c>
      <c r="F12" s="21">
        <f t="shared" ref="F12:G12" si="4">+$C$11*F11</f>
        <v>175</v>
      </c>
      <c r="G12" s="21">
        <f t="shared" si="4"/>
        <v>875</v>
      </c>
      <c r="H12" s="22"/>
      <c r="I12" s="55"/>
      <c r="J12" s="23"/>
      <c r="K12" s="24"/>
      <c r="L12" s="24"/>
      <c r="M12" s="24"/>
      <c r="N12" s="25"/>
      <c r="O12" s="60"/>
      <c r="P12" s="26"/>
      <c r="Q12" s="27"/>
      <c r="R12" s="27"/>
      <c r="S12" s="28"/>
      <c r="T12" s="64"/>
      <c r="U12" s="5"/>
      <c r="V12" s="1"/>
    </row>
    <row r="13" spans="1:22" ht="15.6" x14ac:dyDescent="0.3">
      <c r="A13" s="50" t="s">
        <v>6</v>
      </c>
      <c r="B13" s="18"/>
      <c r="C13" s="16"/>
      <c r="D13" s="15"/>
      <c r="E13" s="29">
        <f>+E11+E9+E7+E5</f>
        <v>65</v>
      </c>
      <c r="F13" s="30">
        <f t="shared" ref="F13:U13" si="5">+F11+F9+F7+F5</f>
        <v>125</v>
      </c>
      <c r="G13" s="30">
        <f t="shared" si="5"/>
        <v>231</v>
      </c>
      <c r="H13" s="31">
        <f t="shared" si="5"/>
        <v>235</v>
      </c>
      <c r="I13" s="56"/>
      <c r="J13" s="32">
        <f t="shared" si="5"/>
        <v>235</v>
      </c>
      <c r="K13" s="33">
        <f t="shared" si="5"/>
        <v>235</v>
      </c>
      <c r="L13" s="33">
        <f t="shared" si="5"/>
        <v>235</v>
      </c>
      <c r="M13" s="33">
        <f t="shared" si="5"/>
        <v>235</v>
      </c>
      <c r="N13" s="34">
        <f t="shared" si="5"/>
        <v>235</v>
      </c>
      <c r="O13" s="61"/>
      <c r="P13" s="35">
        <f t="shared" si="5"/>
        <v>235</v>
      </c>
      <c r="Q13" s="36">
        <f t="shared" si="5"/>
        <v>235</v>
      </c>
      <c r="R13" s="36">
        <f t="shared" si="5"/>
        <v>235</v>
      </c>
      <c r="S13" s="37">
        <f t="shared" si="5"/>
        <v>235</v>
      </c>
      <c r="T13" s="37"/>
      <c r="U13" s="6">
        <f t="shared" si="5"/>
        <v>210</v>
      </c>
    </row>
    <row r="14" spans="1:22" ht="15.6" x14ac:dyDescent="0.3">
      <c r="A14" s="50" t="s">
        <v>10</v>
      </c>
      <c r="B14" s="18"/>
      <c r="C14" s="16"/>
      <c r="D14" s="15"/>
      <c r="E14" s="47">
        <f>+E12+E10+E8+E6</f>
        <v>2815</v>
      </c>
      <c r="F14" s="47">
        <f t="shared" ref="F14:U14" si="6">+F12+F10+F8+F6</f>
        <v>4995</v>
      </c>
      <c r="G14" s="47">
        <f t="shared" si="6"/>
        <v>8773</v>
      </c>
      <c r="H14" s="71">
        <f t="shared" si="6"/>
        <v>8850</v>
      </c>
      <c r="I14" s="53">
        <f>SUM(E14:H14)</f>
        <v>25433</v>
      </c>
      <c r="J14" s="76">
        <f>+J12+J10+J8+J6</f>
        <v>8850</v>
      </c>
      <c r="K14" s="76">
        <f t="shared" si="6"/>
        <v>8850</v>
      </c>
      <c r="L14" s="76">
        <f t="shared" si="6"/>
        <v>8850</v>
      </c>
      <c r="M14" s="76">
        <f t="shared" si="6"/>
        <v>8850</v>
      </c>
      <c r="N14" s="76">
        <f t="shared" si="6"/>
        <v>8850</v>
      </c>
      <c r="O14" s="76">
        <f>SUM(J14:N14)</f>
        <v>44250</v>
      </c>
      <c r="P14" s="77">
        <f t="shared" si="6"/>
        <v>8850</v>
      </c>
      <c r="Q14" s="77">
        <f t="shared" si="6"/>
        <v>8850</v>
      </c>
      <c r="R14" s="77">
        <f t="shared" si="6"/>
        <v>8850</v>
      </c>
      <c r="S14" s="77">
        <f t="shared" si="6"/>
        <v>8850</v>
      </c>
      <c r="T14" s="77">
        <f>SUM(P14:S14)</f>
        <v>35400</v>
      </c>
      <c r="U14" s="117">
        <f t="shared" si="6"/>
        <v>8480</v>
      </c>
    </row>
    <row r="15" spans="1:22" ht="15.6" x14ac:dyDescent="0.3">
      <c r="A15" s="50" t="s">
        <v>15</v>
      </c>
      <c r="B15" s="18"/>
      <c r="C15" s="16"/>
      <c r="D15" s="15"/>
      <c r="E15" s="47"/>
      <c r="F15" s="47"/>
      <c r="G15" s="47"/>
      <c r="H15" s="71"/>
      <c r="I15" s="79">
        <f>+((E5+F5+G5+H5)*D5+(E7+F7+G7)*D7+(F9+G9+H9)*D9+(E11+F11+G11)*D11)/H21</f>
        <v>12.305796493902438</v>
      </c>
      <c r="J15" s="78"/>
      <c r="K15" s="76"/>
      <c r="L15" s="76"/>
      <c r="M15" s="76"/>
      <c r="N15" s="76"/>
      <c r="O15" s="80">
        <f>+((J5+K5+L5+M5+N5*0.2)*D5+(J9+K9+L9+M9+N9*0.2)*D9)/N21</f>
        <v>12.141963829787231</v>
      </c>
      <c r="P15" s="77"/>
      <c r="Q15" s="77"/>
      <c r="R15" s="77"/>
      <c r="S15" s="77"/>
      <c r="T15" s="80">
        <f>+((N5*0.8+P5+Q5+R5+S5)*D5+(N9*0.8+P9+Q9+R9+S9)*D9)/S21</f>
        <v>12.141963829787233</v>
      </c>
      <c r="U15" s="117"/>
    </row>
    <row r="16" spans="1:22" ht="18.600000000000001" thickBot="1" x14ac:dyDescent="0.4">
      <c r="A16" s="83" t="s">
        <v>11</v>
      </c>
      <c r="B16" s="84"/>
      <c r="C16" s="85"/>
      <c r="D16" s="86"/>
      <c r="E16" s="87">
        <f>+E14/E13</f>
        <v>43.307692307692307</v>
      </c>
      <c r="F16" s="87">
        <f t="shared" ref="F16:U16" si="7">+F14/F13</f>
        <v>39.96</v>
      </c>
      <c r="G16" s="87">
        <f t="shared" si="7"/>
        <v>37.978354978354979</v>
      </c>
      <c r="H16" s="88">
        <f t="shared" si="7"/>
        <v>37.659574468085104</v>
      </c>
      <c r="I16" s="66">
        <f>+(E16*E13+F16*F13+G16*G13+H16*H13)/H21</f>
        <v>38.769817073170735</v>
      </c>
      <c r="J16" s="89">
        <f t="shared" si="7"/>
        <v>37.659574468085104</v>
      </c>
      <c r="K16" s="89">
        <f t="shared" si="7"/>
        <v>37.659574468085104</v>
      </c>
      <c r="L16" s="89">
        <f t="shared" si="7"/>
        <v>37.659574468085104</v>
      </c>
      <c r="M16" s="89">
        <f t="shared" si="7"/>
        <v>37.659574468085104</v>
      </c>
      <c r="N16" s="89">
        <f t="shared" si="7"/>
        <v>37.659574468085104</v>
      </c>
      <c r="O16" s="90">
        <v>38</v>
      </c>
      <c r="P16" s="91">
        <f t="shared" si="7"/>
        <v>37.659574468085104</v>
      </c>
      <c r="Q16" s="91">
        <f t="shared" si="7"/>
        <v>37.659574468085104</v>
      </c>
      <c r="R16" s="91">
        <f t="shared" si="7"/>
        <v>37.659574468085104</v>
      </c>
      <c r="S16" s="91">
        <f t="shared" si="7"/>
        <v>37.659574468085104</v>
      </c>
      <c r="T16" s="92">
        <v>38</v>
      </c>
      <c r="U16" s="118">
        <f t="shared" si="7"/>
        <v>40.38095238095238</v>
      </c>
    </row>
    <row r="17" spans="1:21" x14ac:dyDescent="0.3">
      <c r="A17" s="94" t="s">
        <v>7</v>
      </c>
      <c r="B17" s="95"/>
      <c r="C17" s="96"/>
      <c r="D17" s="97"/>
      <c r="E17" s="98">
        <f>+(E6+E8+E10+E12)/48</f>
        <v>58.645833333333336</v>
      </c>
      <c r="F17" s="99">
        <f t="shared" ref="F17:U17" si="8">+(F6+F8+F10+F12)/48</f>
        <v>104.0625</v>
      </c>
      <c r="G17" s="99">
        <f t="shared" si="8"/>
        <v>182.77083333333334</v>
      </c>
      <c r="H17" s="100">
        <f t="shared" si="8"/>
        <v>184.375</v>
      </c>
      <c r="I17" s="101"/>
      <c r="J17" s="102">
        <f t="shared" si="8"/>
        <v>184.375</v>
      </c>
      <c r="K17" s="103">
        <f t="shared" si="8"/>
        <v>184.375</v>
      </c>
      <c r="L17" s="103">
        <f t="shared" si="8"/>
        <v>184.375</v>
      </c>
      <c r="M17" s="103">
        <f t="shared" si="8"/>
        <v>184.375</v>
      </c>
      <c r="N17" s="104">
        <f t="shared" si="8"/>
        <v>184.375</v>
      </c>
      <c r="O17" s="105"/>
      <c r="P17" s="106">
        <f t="shared" si="8"/>
        <v>184.375</v>
      </c>
      <c r="Q17" s="107">
        <f t="shared" si="8"/>
        <v>184.375</v>
      </c>
      <c r="R17" s="107">
        <f t="shared" si="8"/>
        <v>184.375</v>
      </c>
      <c r="S17" s="108">
        <f t="shared" si="8"/>
        <v>184.375</v>
      </c>
      <c r="T17" s="109"/>
      <c r="U17" s="110">
        <f t="shared" si="8"/>
        <v>176.66666666666666</v>
      </c>
    </row>
    <row r="18" spans="1:21" x14ac:dyDescent="0.3">
      <c r="A18" s="50" t="s">
        <v>21</v>
      </c>
      <c r="B18" s="18"/>
      <c r="C18" s="16"/>
      <c r="D18" s="15"/>
      <c r="E18" s="20">
        <v>30</v>
      </c>
      <c r="F18" s="20">
        <v>30</v>
      </c>
      <c r="G18" s="20">
        <v>30</v>
      </c>
      <c r="H18" s="20">
        <v>30</v>
      </c>
      <c r="I18" s="20"/>
      <c r="J18" s="23">
        <v>30</v>
      </c>
      <c r="K18" s="23">
        <v>30</v>
      </c>
      <c r="L18" s="23">
        <v>30</v>
      </c>
      <c r="M18" s="23">
        <v>30</v>
      </c>
      <c r="N18" s="23">
        <v>30</v>
      </c>
      <c r="O18" s="23"/>
      <c r="P18" s="26">
        <v>30</v>
      </c>
      <c r="Q18" s="26">
        <v>30</v>
      </c>
      <c r="R18" s="26">
        <v>30</v>
      </c>
      <c r="S18" s="26">
        <v>30</v>
      </c>
      <c r="T18" s="64"/>
      <c r="U18" s="111">
        <v>30</v>
      </c>
    </row>
    <row r="19" spans="1:21" x14ac:dyDescent="0.3">
      <c r="A19" s="50" t="s">
        <v>20</v>
      </c>
      <c r="B19" s="18"/>
      <c r="C19" s="16"/>
      <c r="D19" s="15"/>
      <c r="E19" s="38">
        <v>24</v>
      </c>
      <c r="F19" s="39">
        <v>24</v>
      </c>
      <c r="G19" s="39">
        <v>24</v>
      </c>
      <c r="H19" s="40">
        <v>24</v>
      </c>
      <c r="I19" s="57"/>
      <c r="J19" s="41">
        <v>24</v>
      </c>
      <c r="K19" s="42">
        <v>24</v>
      </c>
      <c r="L19" s="42">
        <v>24</v>
      </c>
      <c r="M19" s="42">
        <v>24</v>
      </c>
      <c r="N19" s="43">
        <v>24</v>
      </c>
      <c r="O19" s="62"/>
      <c r="P19" s="44">
        <v>24</v>
      </c>
      <c r="Q19" s="45">
        <v>24</v>
      </c>
      <c r="R19" s="45">
        <v>24</v>
      </c>
      <c r="S19" s="46">
        <v>24</v>
      </c>
      <c r="T19" s="65"/>
      <c r="U19" s="112">
        <v>24</v>
      </c>
    </row>
    <row r="20" spans="1:21" ht="15" thickBot="1" x14ac:dyDescent="0.35">
      <c r="A20" s="82" t="s">
        <v>8</v>
      </c>
      <c r="B20" s="113"/>
      <c r="C20" s="114"/>
      <c r="D20" s="115"/>
      <c r="E20" s="67">
        <f>+E17-E18-E19</f>
        <v>4.6458333333333357</v>
      </c>
      <c r="F20" s="67">
        <f t="shared" ref="F20:U20" si="9">+F17-F18-F19</f>
        <v>50.0625</v>
      </c>
      <c r="G20" s="67">
        <f t="shared" si="9"/>
        <v>128.77083333333334</v>
      </c>
      <c r="H20" s="67">
        <f t="shared" si="9"/>
        <v>130.375</v>
      </c>
      <c r="I20" s="67"/>
      <c r="J20" s="68">
        <f t="shared" si="9"/>
        <v>130.375</v>
      </c>
      <c r="K20" s="68">
        <f t="shared" si="9"/>
        <v>130.375</v>
      </c>
      <c r="L20" s="68">
        <f t="shared" si="9"/>
        <v>130.375</v>
      </c>
      <c r="M20" s="68">
        <f t="shared" si="9"/>
        <v>130.375</v>
      </c>
      <c r="N20" s="68">
        <f t="shared" si="9"/>
        <v>130.375</v>
      </c>
      <c r="O20" s="68"/>
      <c r="P20" s="69">
        <f t="shared" si="9"/>
        <v>130.375</v>
      </c>
      <c r="Q20" s="69">
        <f t="shared" si="9"/>
        <v>130.375</v>
      </c>
      <c r="R20" s="69">
        <f t="shared" si="9"/>
        <v>130.375</v>
      </c>
      <c r="S20" s="69">
        <f t="shared" si="9"/>
        <v>130.375</v>
      </c>
      <c r="T20" s="69"/>
      <c r="U20" s="116">
        <f t="shared" si="9"/>
        <v>122.66666666666666</v>
      </c>
    </row>
    <row r="21" spans="1:21" ht="18.600000000000001" thickBot="1" x14ac:dyDescent="0.4">
      <c r="H21" s="93">
        <f>+E13+F13+G13+H13</f>
        <v>656</v>
      </c>
      <c r="I21" s="58"/>
      <c r="N21" s="93">
        <f>+J13+K13+L13+M13+N13*0.2</f>
        <v>987</v>
      </c>
      <c r="O21" s="58"/>
      <c r="S21" s="93">
        <f>+N13*0.8+P13+Q13+R13+S13</f>
        <v>1128</v>
      </c>
      <c r="T21" s="58"/>
    </row>
    <row r="22" spans="1:21" ht="15" thickBot="1" x14ac:dyDescent="0.35">
      <c r="A22" s="2" t="s">
        <v>23</v>
      </c>
      <c r="H22" s="81">
        <v>627</v>
      </c>
      <c r="N22" s="81">
        <v>631</v>
      </c>
      <c r="S22" s="81">
        <v>631</v>
      </c>
    </row>
    <row r="26" spans="1:21" x14ac:dyDescent="0.3">
      <c r="K26" s="2"/>
    </row>
  </sheetData>
  <mergeCells count="7">
    <mergeCell ref="I2:I3"/>
    <mergeCell ref="O2:O3"/>
    <mergeCell ref="T2:T3"/>
    <mergeCell ref="D3:D4"/>
    <mergeCell ref="E3:H3"/>
    <mergeCell ref="J3:N3"/>
    <mergeCell ref="P3:S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Michelena</dc:creator>
  <cp:lastModifiedBy>Daniel Michelena</cp:lastModifiedBy>
  <dcterms:created xsi:type="dcterms:W3CDTF">2026-08-05T15:06:50Z</dcterms:created>
  <dcterms:modified xsi:type="dcterms:W3CDTF">2026-08-14T17:47:25Z</dcterms:modified>
</cp:coreProperties>
</file>