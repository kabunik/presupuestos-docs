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ichelena\Desktop\Software DM\FVP Caracas\"/>
    </mc:Choice>
  </mc:AlternateContent>
  <xr:revisionPtr revIDLastSave="0" documentId="8_{71E8C2DA-EBC1-46C6-B6C0-36DF4E2287C0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Comparativo 3 Escenarios" sheetId="1" r:id="rId1"/>
    <sheet name="Flujo de Caja" sheetId="2" r:id="rId2"/>
    <sheet name="Value Engineering" sheetId="3" r:id="rId3"/>
    <sheet name="Condiciones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2" l="1"/>
  <c r="D8" i="2"/>
  <c r="B8" i="2"/>
  <c r="E7" i="2"/>
  <c r="D7" i="2"/>
  <c r="E6" i="2"/>
  <c r="D6" i="2"/>
  <c r="E5" i="2"/>
  <c r="D5" i="2"/>
  <c r="E4" i="2"/>
  <c r="D4" i="2"/>
</calcChain>
</file>

<file path=xl/sharedStrings.xml><?xml version="1.0" encoding="utf-8"?>
<sst xmlns="http://schemas.openxmlformats.org/spreadsheetml/2006/main" count="138" uniqueCount="130">
  <si>
    <t>CNARCCS DOMO — OFERTA COMPARATIVA DE 3 ESCENARIOS</t>
  </si>
  <si>
    <t>CONCEPTO</t>
  </si>
  <si>
    <t>A — BASE</t>
  </si>
  <si>
    <t>B — OPTIMIZADO</t>
  </si>
  <si>
    <t>C — MÍNIMO VIABLE</t>
  </si>
  <si>
    <t>Peso cobrable AISC (ton)</t>
  </si>
  <si>
    <t>Peso material a comprar (ton)</t>
  </si>
  <si>
    <t>Horas-hombre taller (HH)</t>
  </si>
  <si>
    <t>HH/ton</t>
  </si>
  <si>
    <t>COSTOS DIRECTOS</t>
  </si>
  <si>
    <t>Material acero</t>
  </si>
  <si>
    <t>Mano de obra taller</t>
  </si>
  <si>
    <t>Tornillería</t>
  </si>
  <si>
    <t>Soldadura (consumible)</t>
  </si>
  <si>
    <t>Recubrimiento C2 ISO 12944</t>
  </si>
  <si>
    <t>Transporte a Puerto de Progreso</t>
  </si>
  <si>
    <t>COSTO DIRECTO</t>
  </si>
  <si>
    <t>COSTOS INDIRECTOS Y MARGEN</t>
  </si>
  <si>
    <t>Indirectos (12%)</t>
  </si>
  <si>
    <t>Imprevistos (3%)</t>
  </si>
  <si>
    <t>Utilidad</t>
  </si>
  <si>
    <t>PRECIO DE OFERTA</t>
  </si>
  <si>
    <t>PRECIO SIN IVA</t>
  </si>
  <si>
    <t>IVA (16%)</t>
  </si>
  <si>
    <t>PRECIO TOTAL CON IVA</t>
  </si>
  <si>
    <t>Precio unitario ($/ton sin IVA)</t>
  </si>
  <si>
    <t>Ahorro vs Escenario BASE</t>
  </si>
  <si>
    <t>CNARCCS DOMO — FLUJO DE CAJA (Escenario BASE)</t>
  </si>
  <si>
    <t>Estructura de pago: 30% anticipo / 65% avance / 5% finiquito</t>
  </si>
  <si>
    <t>Hito</t>
  </si>
  <si>
    <t>% Pago</t>
  </si>
  <si>
    <t>Semana</t>
  </si>
  <si>
    <t>Monto sin IVA</t>
  </si>
  <si>
    <t>Monto con IVA</t>
  </si>
  <si>
    <t>Anticipo (firma de contrato)</t>
  </si>
  <si>
    <t>Sem 0</t>
  </si>
  <si>
    <t>Avance de fabricación 50%</t>
  </si>
  <si>
    <t>Sem 10</t>
  </si>
  <si>
    <t>Avance de fabricación 100%</t>
  </si>
  <si>
    <t>Sem 20</t>
  </si>
  <si>
    <t>Finiquito (entrega en obra)</t>
  </si>
  <si>
    <t>Sem 26</t>
  </si>
  <si>
    <t>TOTAL</t>
  </si>
  <si>
    <t>CNARCCS DOMO — ESTRATEGIAS DE VALUE ENGINEERING (Escenario B)</t>
  </si>
  <si>
    <t>Estrategia</t>
  </si>
  <si>
    <t>Categoría</t>
  </si>
  <si>
    <t>Impacto / Ahorro</t>
  </si>
  <si>
    <t>1. Pedido de perfiles W a molino con largo exacto</t>
  </si>
  <si>
    <t>Perfiles</t>
  </si>
  <si>
    <t>Desperdicio 7%→3% (req. ingeniería congelada, 10-16 sem)</t>
  </si>
  <si>
    <t>2. Compra anticipada de acero estructural</t>
  </si>
  <si>
    <t>Logística</t>
  </si>
  <si>
    <t>3-5% ahorro de material (requiere anticipo 30%)</t>
  </si>
  <si>
    <t>3. Consolidación de lotes de transporte a Yucatán</t>
  </si>
  <si>
    <t>Reduce sobrecosto de piezas especiales ~30%</t>
  </si>
  <si>
    <t>4. Prefabricación de marcos repetitivos de gradería en taller</t>
  </si>
  <si>
    <t>Mano de obra</t>
  </si>
  <si>
    <t>Reduce HH/ton de 58 a 54 (gradería es repetitiva)</t>
  </si>
  <si>
    <t>5. Optimización del paso de correas Z375 según carga real</t>
  </si>
  <si>
    <t>Ajuste fino de cantidad de correas de cubierta</t>
  </si>
  <si>
    <t>6. Sustitución de perfiles importados por equivalentes nacionales</t>
  </si>
  <si>
    <t>Donde la disponibilidad Ternium/ArcelorMittal lo permita</t>
  </si>
  <si>
    <t>Ahorro total estimado Escenario B vs BASE:</t>
  </si>
  <si>
    <t>Condición: requiere anticipo 30% confirmado para estrategias 1 y 2.</t>
  </si>
  <si>
    <t>CNARCCS DOMO — CONDICIONES COMERCIALES Y SUPUESTOS</t>
  </si>
  <si>
    <t>DATOS GENERALES</t>
  </si>
  <si>
    <t>Proyecto</t>
  </si>
  <si>
    <t>CNARCCS Domo Estructura V2013 — domo deportivo techado</t>
  </si>
  <si>
    <t>Cliente</t>
  </si>
  <si>
    <t>Federación Venezolana de Fútbol</t>
  </si>
  <si>
    <t>Fabricante</t>
  </si>
  <si>
    <t>Grupo Baysa / METALITEC — Pachuca, Hidalgo, México</t>
  </si>
  <si>
    <t>ALCANCE</t>
  </si>
  <si>
    <t>Incluye</t>
  </si>
  <si>
    <t>Fabricación de domo principal, cubierta (correas Z375 + cruces), graderías 1-6, edificio ascensor y rampa</t>
  </si>
  <si>
    <t>Recubrimiento sistema C2 ISO 12944 (2 capas, ambiente no corrosivo - sitio final de montaje no costero)</t>
  </si>
  <si>
    <t>Transporte terrestre hasta el Puerto de Progreso, Yucatán (1,560 km)</t>
  </si>
  <si>
    <t>Excluye</t>
  </si>
  <si>
    <t>Embalaje marítimo (estibas, fleje, protección de travesía) — lo provee el cliente</t>
  </si>
  <si>
    <t>MONTAJE en sitio (cotización por separado)</t>
  </si>
  <si>
    <t>Maniobra de carga al buque, flete marítimo, seguro de travesía e importación a Venezuela</t>
  </si>
  <si>
    <t>Cimentación de concreto, steel deck, escaleras de concreto, pernos Nelson</t>
  </si>
  <si>
    <t>MODALIDAD DE ENTREGA</t>
  </si>
  <si>
    <t>Entrega</t>
  </si>
  <si>
    <t>En Puerto de Progreso, Yucatán — al costado del buque (tipo FAS)</t>
  </si>
  <si>
    <t>Destino final</t>
  </si>
  <si>
    <t>Venezuela — Federación Venezolana de Fútbol (exportación marítima)</t>
  </si>
  <si>
    <t>Responsabilidad Baysa</t>
  </si>
  <si>
    <t>Fabricación + transporte terrestre hasta puerto. No incluye operación portuaria ni marítima.</t>
  </si>
  <si>
    <t>PRECIOS</t>
  </si>
  <si>
    <t>Moneda</t>
  </si>
  <si>
    <t>Pesos mexicanos (MXN)</t>
  </si>
  <si>
    <t>Vigencia de la oferta</t>
  </si>
  <si>
    <t>30 días naturales</t>
  </si>
  <si>
    <t>Acero - referencia</t>
  </si>
  <si>
    <t>Precio ponderado $25,600/ton (HYLSA/TERNIUM/ArcelorMittal)</t>
  </si>
  <si>
    <t>Cláusula de ajuste</t>
  </si>
  <si>
    <t>Proyecto &gt; $5M: ajuste por variación de precio de acero &gt; 5%</t>
  </si>
  <si>
    <t>PAGOS</t>
  </si>
  <si>
    <t>Estructura</t>
  </si>
  <si>
    <t>30% anticipo / 65% avance de fabricación / 5% finiquito</t>
  </si>
  <si>
    <t>Anticipo</t>
  </si>
  <si>
    <t>Prerrequisito para estrategias de Value Engineering 1 y 2 (Esc. B)</t>
  </si>
  <si>
    <t>PLAZO</t>
  </si>
  <si>
    <t>Fabricación</t>
  </si>
  <si>
    <t>~24-26 semanas (estructura de gran claro, ~50,000 HH)</t>
  </si>
  <si>
    <t>Pedido de acero a molino</t>
  </si>
  <si>
    <t>8-16 semanas si se aplica V.E. estrategia 1</t>
  </si>
  <si>
    <t>RIESGOS COMERCIALES</t>
  </si>
  <si>
    <t>Validación de ingeniería</t>
  </si>
  <si>
    <t>Cómputo preliminar; requiere validación del Ing. de cálculo</t>
  </si>
  <si>
    <t>Filtro de crédito</t>
  </si>
  <si>
    <t>Verificar crédito del cliente antes de comprometer material</t>
  </si>
  <si>
    <t>Tolerancia de peso</t>
  </si>
  <si>
    <t>±5% entre cómputo y modelo de detalle de fabricación</t>
  </si>
  <si>
    <t>Recubrimiento</t>
  </si>
  <si>
    <t>Sistema C2 para ambiente no corrosivo. Si cambia el destino, reevaluar.</t>
  </si>
  <si>
    <t>SEGUIMIENTO POST-OFERTA</t>
  </si>
  <si>
    <t>Día 0</t>
  </si>
  <si>
    <t>Entrega de oferta</t>
  </si>
  <si>
    <t>Día 3</t>
  </si>
  <si>
    <t>Confirmar recepción</t>
  </si>
  <si>
    <t>Día 7</t>
  </si>
  <si>
    <t>Reunión técnica si hay observaciones</t>
  </si>
  <si>
    <t>Día 15</t>
  </si>
  <si>
    <t>Seguimiento de decisión</t>
  </si>
  <si>
    <t>Día 25</t>
  </si>
  <si>
    <t>Alerta de vencimiento (5 días antes)</t>
  </si>
  <si>
    <t>Día 28</t>
  </si>
  <si>
    <t>Nota de extensión o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</si>
</sst>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375623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4" fillId="0" borderId="0" xfId="0" applyFont="1"/>
    <xf numFmtId="165" fontId="4" fillId="6" borderId="0" xfId="0" applyNumberFormat="1" applyFont="1" applyFill="1" applyAlignment="1">
      <alignment horizontal="right" vertical="center"/>
    </xf>
    <xf numFmtId="0" fontId="3" fillId="0" borderId="1" xfId="0" applyFont="1" applyBorder="1"/>
    <xf numFmtId="166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/>
    <xf numFmtId="0" fontId="0" fillId="0" borderId="1" xfId="0" applyBorder="1"/>
    <xf numFmtId="165" fontId="4" fillId="5" borderId="1" xfId="0" applyNumberFormat="1" applyFont="1" applyFill="1" applyBorder="1"/>
    <xf numFmtId="0" fontId="3" fillId="0" borderId="1" xfId="0" applyFont="1" applyBorder="1" applyAlignment="1">
      <alignment horizontal="left" vertical="center" wrapText="1"/>
    </xf>
    <xf numFmtId="165" fontId="4" fillId="5" borderId="0" xfId="0" applyNumberFormat="1" applyFont="1" applyFill="1"/>
    <xf numFmtId="0" fontId="5" fillId="0" borderId="0" xfId="0" applyFont="1"/>
    <xf numFmtId="0" fontId="4" fillId="6" borderId="0" xfId="0" applyFont="1" applyFill="1"/>
    <xf numFmtId="0" fontId="3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4" width="17" customWidth="1"/>
  </cols>
  <sheetData>
    <row r="1" spans="1:4" ht="24" customHeight="1" x14ac:dyDescent="0.3">
      <c r="A1" s="3" t="s">
        <v>0</v>
      </c>
      <c r="B1" s="3"/>
      <c r="C1" s="3"/>
      <c r="D1" s="3"/>
    </row>
    <row r="2" spans="1:4" ht="21.75" customHeight="1" x14ac:dyDescent="0.3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">
      <c r="A3" s="5" t="s">
        <v>5</v>
      </c>
      <c r="B3" s="6">
        <v>734.56532600000003</v>
      </c>
      <c r="C3" s="6">
        <v>734.56532600000003</v>
      </c>
      <c r="D3" s="6">
        <v>734.56532600000003</v>
      </c>
    </row>
    <row r="4" spans="1:4" x14ac:dyDescent="0.3">
      <c r="A4" s="5" t="s">
        <v>6</v>
      </c>
      <c r="B4" s="6">
        <v>785.01572483400003</v>
      </c>
      <c r="C4" s="6">
        <v>762.31304535870004</v>
      </c>
      <c r="D4" s="6">
        <v>762.31304535870004</v>
      </c>
    </row>
    <row r="5" spans="1:4" x14ac:dyDescent="0.3">
      <c r="A5" s="5" t="s">
        <v>7</v>
      </c>
      <c r="B5" s="7">
        <v>50123.281068235301</v>
      </c>
      <c r="C5" s="7">
        <v>46666.503063529402</v>
      </c>
      <c r="D5" s="7">
        <v>44938.1140611765</v>
      </c>
    </row>
    <row r="6" spans="1:4" x14ac:dyDescent="0.3">
      <c r="A6" s="5" t="s">
        <v>8</v>
      </c>
      <c r="B6" s="8">
        <v>58</v>
      </c>
      <c r="C6" s="8">
        <v>54</v>
      </c>
      <c r="D6" s="8">
        <v>52</v>
      </c>
    </row>
    <row r="7" spans="1:4" ht="15" customHeight="1" x14ac:dyDescent="0.3">
      <c r="A7" s="2" t="s">
        <v>9</v>
      </c>
      <c r="B7" s="2"/>
      <c r="C7" s="2"/>
      <c r="D7" s="2"/>
    </row>
    <row r="8" spans="1:4" x14ac:dyDescent="0.3">
      <c r="A8" s="5" t="s">
        <v>10</v>
      </c>
      <c r="B8" s="9">
        <v>20096402.5557504</v>
      </c>
      <c r="C8" s="9">
        <v>19515213.961182699</v>
      </c>
      <c r="D8" s="9">
        <v>19515213.961182699</v>
      </c>
    </row>
    <row r="9" spans="1:4" x14ac:dyDescent="0.3">
      <c r="A9" s="5" t="s">
        <v>11</v>
      </c>
      <c r="B9" s="9">
        <v>8270341.3762588296</v>
      </c>
      <c r="C9" s="9">
        <v>7699973.0054823495</v>
      </c>
      <c r="D9" s="9">
        <v>7414788.8200941198</v>
      </c>
    </row>
    <row r="10" spans="1:4" x14ac:dyDescent="0.3">
      <c r="A10" s="5" t="s">
        <v>12</v>
      </c>
      <c r="B10" s="9">
        <v>1744592.64925</v>
      </c>
      <c r="C10" s="9">
        <v>1744592.64925</v>
      </c>
      <c r="D10" s="9">
        <v>1744592.64925</v>
      </c>
    </row>
    <row r="11" spans="1:4" x14ac:dyDescent="0.3">
      <c r="A11" s="5" t="s">
        <v>13</v>
      </c>
      <c r="B11" s="9">
        <v>1031329.717704</v>
      </c>
      <c r="C11" s="9">
        <v>1031329.717704</v>
      </c>
      <c r="D11" s="9">
        <v>1031329.717704</v>
      </c>
    </row>
    <row r="12" spans="1:4" x14ac:dyDescent="0.3">
      <c r="A12" s="5" t="s">
        <v>14</v>
      </c>
      <c r="B12" s="9">
        <v>2130239.4454000001</v>
      </c>
      <c r="C12" s="9">
        <v>2130239.4454000001</v>
      </c>
      <c r="D12" s="9">
        <v>1895178.5410800001</v>
      </c>
    </row>
    <row r="13" spans="1:4" x14ac:dyDescent="0.3">
      <c r="A13" s="5" t="s">
        <v>15</v>
      </c>
      <c r="B13" s="9">
        <v>6365661.1120499102</v>
      </c>
      <c r="C13" s="9">
        <v>5898680.7689158097</v>
      </c>
      <c r="D13" s="9">
        <v>5898680.7689158097</v>
      </c>
    </row>
    <row r="14" spans="1:4" x14ac:dyDescent="0.3">
      <c r="A14" s="10" t="s">
        <v>16</v>
      </c>
      <c r="B14" s="11">
        <v>39638566.856413104</v>
      </c>
      <c r="C14" s="11">
        <v>36309128.218277797</v>
      </c>
      <c r="D14" s="11">
        <v>35249797.3907331</v>
      </c>
    </row>
    <row r="15" spans="1:4" ht="15" customHeight="1" x14ac:dyDescent="0.3">
      <c r="A15" s="2" t="s">
        <v>17</v>
      </c>
      <c r="B15" s="2"/>
      <c r="C15" s="2"/>
      <c r="D15" s="2"/>
    </row>
    <row r="16" spans="1:4" x14ac:dyDescent="0.3">
      <c r="A16" s="5" t="s">
        <v>18</v>
      </c>
      <c r="B16" s="9">
        <v>4756628.0227695797</v>
      </c>
      <c r="C16" s="9">
        <v>4357095.3861933397</v>
      </c>
      <c r="D16" s="9">
        <v>4229975.6868879702</v>
      </c>
    </row>
    <row r="17" spans="1:4" x14ac:dyDescent="0.3">
      <c r="A17" s="5" t="s">
        <v>19</v>
      </c>
      <c r="B17" s="9">
        <v>1189157.00569239</v>
      </c>
      <c r="C17" s="9">
        <v>1089273.84654833</v>
      </c>
      <c r="D17" s="9">
        <v>1057493.92172199</v>
      </c>
    </row>
    <row r="18" spans="1:4" x14ac:dyDescent="0.3">
      <c r="A18" s="5" t="s">
        <v>20</v>
      </c>
      <c r="B18" s="9">
        <v>8205183.3392775198</v>
      </c>
      <c r="C18" s="9">
        <v>7515989.5411835099</v>
      </c>
      <c r="D18" s="9">
        <v>4864472.0399211599</v>
      </c>
    </row>
    <row r="19" spans="1:4" ht="15" customHeight="1" x14ac:dyDescent="0.3">
      <c r="A19" s="2" t="s">
        <v>21</v>
      </c>
      <c r="B19" s="2"/>
      <c r="C19" s="2"/>
      <c r="D19" s="2"/>
    </row>
    <row r="20" spans="1:4" x14ac:dyDescent="0.3">
      <c r="A20" s="10" t="s">
        <v>22</v>
      </c>
      <c r="B20" s="11">
        <v>53789535.224152602</v>
      </c>
      <c r="C20" s="11">
        <v>49271486.992202997</v>
      </c>
      <c r="D20" s="11">
        <v>45401739.039264202</v>
      </c>
    </row>
    <row r="21" spans="1:4" x14ac:dyDescent="0.3">
      <c r="A21" s="5" t="s">
        <v>23</v>
      </c>
      <c r="B21" s="9">
        <v>8606325.6358644199</v>
      </c>
      <c r="C21" s="9">
        <v>7883437.9187524803</v>
      </c>
      <c r="D21" s="9">
        <v>7264278.2462822702</v>
      </c>
    </row>
    <row r="22" spans="1:4" x14ac:dyDescent="0.3">
      <c r="A22" s="10" t="s">
        <v>24</v>
      </c>
      <c r="B22" s="11">
        <v>62395860.860017098</v>
      </c>
      <c r="C22" s="11">
        <v>57154924.910955504</v>
      </c>
      <c r="D22" s="11">
        <v>52666017.285546497</v>
      </c>
    </row>
    <row r="23" spans="1:4" x14ac:dyDescent="0.3">
      <c r="A23" s="10" t="s">
        <v>25</v>
      </c>
      <c r="B23" s="11">
        <v>73226.346684586897</v>
      </c>
      <c r="C23" s="11">
        <v>67075.704839630605</v>
      </c>
      <c r="D23" s="11">
        <v>61807.626132443103</v>
      </c>
    </row>
    <row r="25" spans="1:4" x14ac:dyDescent="0.3">
      <c r="A25" s="12" t="s">
        <v>26</v>
      </c>
      <c r="B25" s="13">
        <v>0</v>
      </c>
      <c r="C25" s="13">
        <v>4518048.2319496404</v>
      </c>
      <c r="D25" s="13">
        <v>8387796.1848884504</v>
      </c>
    </row>
  </sheetData>
  <mergeCells count="4">
    <mergeCell ref="A1:D1"/>
    <mergeCell ref="A7:D7"/>
    <mergeCell ref="A15:D15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/>
  </sheetViews>
  <sheetFormatPr baseColWidth="10" defaultColWidth="8.6640625" defaultRowHeight="14.4" x14ac:dyDescent="0.3"/>
  <cols>
    <col min="1" max="1" width="32" customWidth="1"/>
    <col min="2" max="3" width="10" customWidth="1"/>
    <col min="4" max="5" width="18" customWidth="1"/>
  </cols>
  <sheetData>
    <row r="1" spans="1:5" ht="24" customHeight="1" x14ac:dyDescent="0.3">
      <c r="A1" s="3" t="s">
        <v>27</v>
      </c>
      <c r="B1" s="3"/>
      <c r="C1" s="3"/>
      <c r="D1" s="3"/>
      <c r="E1" s="3"/>
    </row>
    <row r="2" spans="1:5" x14ac:dyDescent="0.3">
      <c r="A2" s="1" t="s">
        <v>28</v>
      </c>
      <c r="B2" s="1"/>
      <c r="C2" s="1"/>
      <c r="D2" s="1"/>
      <c r="E2" s="1"/>
    </row>
    <row r="3" spans="1:5" x14ac:dyDescent="0.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 x14ac:dyDescent="0.3">
      <c r="A4" s="14" t="s">
        <v>34</v>
      </c>
      <c r="B4" s="15">
        <v>0.3</v>
      </c>
      <c r="C4" s="16" t="s">
        <v>35</v>
      </c>
      <c r="D4" s="17">
        <f>B4*53789535.22</f>
        <v>16136860.566</v>
      </c>
      <c r="E4" s="17">
        <f>B4*62395860.86</f>
        <v>18718758.257999998</v>
      </c>
    </row>
    <row r="5" spans="1:5" x14ac:dyDescent="0.3">
      <c r="A5" s="14" t="s">
        <v>36</v>
      </c>
      <c r="B5" s="15">
        <v>0.32500000000000001</v>
      </c>
      <c r="C5" s="16" t="s">
        <v>37</v>
      </c>
      <c r="D5" s="17">
        <f>B5*53789535.22</f>
        <v>17481598.9465</v>
      </c>
      <c r="E5" s="17">
        <f>B5*62395860.86</f>
        <v>20278654.7795</v>
      </c>
    </row>
    <row r="6" spans="1:5" x14ac:dyDescent="0.3">
      <c r="A6" s="14" t="s">
        <v>38</v>
      </c>
      <c r="B6" s="15">
        <v>0.32500000000000001</v>
      </c>
      <c r="C6" s="16" t="s">
        <v>39</v>
      </c>
      <c r="D6" s="17">
        <f>B6*53789535.22</f>
        <v>17481598.9465</v>
      </c>
      <c r="E6" s="17">
        <f>B6*62395860.86</f>
        <v>20278654.7795</v>
      </c>
    </row>
    <row r="7" spans="1:5" x14ac:dyDescent="0.3">
      <c r="A7" s="14" t="s">
        <v>40</v>
      </c>
      <c r="B7" s="15">
        <v>0.05</v>
      </c>
      <c r="C7" s="16" t="s">
        <v>41</v>
      </c>
      <c r="D7" s="17">
        <f>B7*53789535.22</f>
        <v>2689476.7609999999</v>
      </c>
      <c r="E7" s="17">
        <f>B7*62395860.86</f>
        <v>3119793.0430000001</v>
      </c>
    </row>
    <row r="8" spans="1:5" x14ac:dyDescent="0.3">
      <c r="A8" s="18" t="s">
        <v>42</v>
      </c>
      <c r="B8" s="19">
        <f>SUM(B4:B7)</f>
        <v>1</v>
      </c>
      <c r="C8" s="20"/>
      <c r="D8" s="21">
        <f>SUM(D4:D7)</f>
        <v>53789535.220000006</v>
      </c>
      <c r="E8" s="21">
        <f>SUM(E4:E7)</f>
        <v>62395860.859999992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baseColWidth="10" defaultColWidth="8.6640625" defaultRowHeight="14.4" x14ac:dyDescent="0.3"/>
  <cols>
    <col min="1" max="1" width="48" customWidth="1"/>
    <col min="2" max="2" width="16" customWidth="1"/>
    <col min="3" max="3" width="42" customWidth="1"/>
  </cols>
  <sheetData>
    <row r="1" spans="1:3" ht="24" customHeight="1" x14ac:dyDescent="0.3">
      <c r="A1" s="3" t="s">
        <v>43</v>
      </c>
      <c r="B1" s="3"/>
      <c r="C1" s="3"/>
    </row>
    <row r="2" spans="1:3" x14ac:dyDescent="0.3">
      <c r="A2" s="4" t="s">
        <v>44</v>
      </c>
      <c r="B2" s="4" t="s">
        <v>45</v>
      </c>
      <c r="C2" s="4" t="s">
        <v>46</v>
      </c>
    </row>
    <row r="3" spans="1:3" ht="26.4" x14ac:dyDescent="0.3">
      <c r="A3" s="22" t="s">
        <v>47</v>
      </c>
      <c r="B3" s="22" t="s">
        <v>48</v>
      </c>
      <c r="C3" s="22" t="s">
        <v>49</v>
      </c>
    </row>
    <row r="4" spans="1:3" x14ac:dyDescent="0.3">
      <c r="A4" s="22" t="s">
        <v>50</v>
      </c>
      <c r="B4" s="22" t="s">
        <v>51</v>
      </c>
      <c r="C4" s="22" t="s">
        <v>52</v>
      </c>
    </row>
    <row r="5" spans="1:3" x14ac:dyDescent="0.3">
      <c r="A5" s="22" t="s">
        <v>53</v>
      </c>
      <c r="B5" s="22" t="s">
        <v>51</v>
      </c>
      <c r="C5" s="22" t="s">
        <v>54</v>
      </c>
    </row>
    <row r="6" spans="1:3" ht="26.4" x14ac:dyDescent="0.3">
      <c r="A6" s="22" t="s">
        <v>55</v>
      </c>
      <c r="B6" s="22" t="s">
        <v>56</v>
      </c>
      <c r="C6" s="22" t="s">
        <v>57</v>
      </c>
    </row>
    <row r="7" spans="1:3" ht="26.4" x14ac:dyDescent="0.3">
      <c r="A7" s="22" t="s">
        <v>58</v>
      </c>
      <c r="B7" s="22" t="s">
        <v>48</v>
      </c>
      <c r="C7" s="22" t="s">
        <v>59</v>
      </c>
    </row>
    <row r="8" spans="1:3" ht="26.4" x14ac:dyDescent="0.3">
      <c r="A8" s="22" t="s">
        <v>60</v>
      </c>
      <c r="B8" s="22" t="s">
        <v>48</v>
      </c>
      <c r="C8" s="22" t="s">
        <v>61</v>
      </c>
    </row>
    <row r="10" spans="1:3" x14ac:dyDescent="0.3">
      <c r="A10" s="12" t="s">
        <v>62</v>
      </c>
      <c r="C10" s="23">
        <v>4518048.2319496404</v>
      </c>
    </row>
    <row r="11" spans="1:3" x14ac:dyDescent="0.3">
      <c r="A11" s="24" t="s">
        <v>63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72" customWidth="1"/>
  </cols>
  <sheetData>
    <row r="1" spans="1:2" ht="24" customHeight="1" x14ac:dyDescent="0.3">
      <c r="A1" s="3" t="s">
        <v>64</v>
      </c>
      <c r="B1" s="3"/>
    </row>
    <row r="2" spans="1:2" x14ac:dyDescent="0.3">
      <c r="A2" s="25" t="s">
        <v>65</v>
      </c>
      <c r="B2" s="26"/>
    </row>
    <row r="3" spans="1:2" x14ac:dyDescent="0.3">
      <c r="A3" s="12" t="s">
        <v>66</v>
      </c>
      <c r="B3" s="27" t="s">
        <v>67</v>
      </c>
    </row>
    <row r="4" spans="1:2" x14ac:dyDescent="0.3">
      <c r="A4" s="12" t="s">
        <v>68</v>
      </c>
      <c r="B4" s="27" t="s">
        <v>69</v>
      </c>
    </row>
    <row r="5" spans="1:2" x14ac:dyDescent="0.3">
      <c r="A5" s="12" t="s">
        <v>70</v>
      </c>
      <c r="B5" s="27" t="s">
        <v>71</v>
      </c>
    </row>
    <row r="6" spans="1:2" x14ac:dyDescent="0.3">
      <c r="A6" s="12"/>
      <c r="B6" s="27"/>
    </row>
    <row r="7" spans="1:2" x14ac:dyDescent="0.3">
      <c r="A7" s="25" t="s">
        <v>72</v>
      </c>
      <c r="B7" s="26"/>
    </row>
    <row r="8" spans="1:2" ht="26.4" x14ac:dyDescent="0.3">
      <c r="A8" s="12" t="s">
        <v>73</v>
      </c>
      <c r="B8" s="27" t="s">
        <v>74</v>
      </c>
    </row>
    <row r="9" spans="1:2" ht="26.4" x14ac:dyDescent="0.3">
      <c r="A9" s="12" t="s">
        <v>73</v>
      </c>
      <c r="B9" s="27" t="s">
        <v>75</v>
      </c>
    </row>
    <row r="10" spans="1:2" x14ac:dyDescent="0.3">
      <c r="A10" s="12" t="s">
        <v>73</v>
      </c>
      <c r="B10" s="27" t="s">
        <v>76</v>
      </c>
    </row>
    <row r="11" spans="1:2" x14ac:dyDescent="0.3">
      <c r="A11" s="12" t="s">
        <v>77</v>
      </c>
      <c r="B11" s="27" t="s">
        <v>78</v>
      </c>
    </row>
    <row r="12" spans="1:2" x14ac:dyDescent="0.3">
      <c r="A12" s="12" t="s">
        <v>77</v>
      </c>
      <c r="B12" s="27" t="s">
        <v>79</v>
      </c>
    </row>
    <row r="13" spans="1:2" ht="26.4" x14ac:dyDescent="0.3">
      <c r="A13" s="12" t="s">
        <v>77</v>
      </c>
      <c r="B13" s="27" t="s">
        <v>80</v>
      </c>
    </row>
    <row r="14" spans="1:2" x14ac:dyDescent="0.3">
      <c r="A14" s="12" t="s">
        <v>77</v>
      </c>
      <c r="B14" s="27" t="s">
        <v>81</v>
      </c>
    </row>
    <row r="15" spans="1:2" x14ac:dyDescent="0.3">
      <c r="A15" s="12"/>
      <c r="B15" s="27"/>
    </row>
    <row r="16" spans="1:2" x14ac:dyDescent="0.3">
      <c r="A16" s="25" t="s">
        <v>82</v>
      </c>
      <c r="B16" s="26"/>
    </row>
    <row r="17" spans="1:2" x14ac:dyDescent="0.3">
      <c r="A17" s="12" t="s">
        <v>83</v>
      </c>
      <c r="B17" s="27" t="s">
        <v>84</v>
      </c>
    </row>
    <row r="18" spans="1:2" x14ac:dyDescent="0.3">
      <c r="A18" s="12" t="s">
        <v>85</v>
      </c>
      <c r="B18" s="27" t="s">
        <v>86</v>
      </c>
    </row>
    <row r="19" spans="1:2" ht="26.4" x14ac:dyDescent="0.3">
      <c r="A19" s="12" t="s">
        <v>87</v>
      </c>
      <c r="B19" s="27" t="s">
        <v>88</v>
      </c>
    </row>
    <row r="20" spans="1:2" x14ac:dyDescent="0.3">
      <c r="A20" s="12"/>
      <c r="B20" s="27"/>
    </row>
    <row r="21" spans="1:2" x14ac:dyDescent="0.3">
      <c r="A21" s="25" t="s">
        <v>89</v>
      </c>
      <c r="B21" s="26"/>
    </row>
    <row r="22" spans="1:2" x14ac:dyDescent="0.3">
      <c r="A22" s="12" t="s">
        <v>90</v>
      </c>
      <c r="B22" s="27" t="s">
        <v>91</v>
      </c>
    </row>
    <row r="23" spans="1:2" x14ac:dyDescent="0.3">
      <c r="A23" s="12" t="s">
        <v>92</v>
      </c>
      <c r="B23" s="27" t="s">
        <v>93</v>
      </c>
    </row>
    <row r="24" spans="1:2" x14ac:dyDescent="0.3">
      <c r="A24" s="12" t="s">
        <v>94</v>
      </c>
      <c r="B24" s="27" t="s">
        <v>95</v>
      </c>
    </row>
    <row r="25" spans="1:2" x14ac:dyDescent="0.3">
      <c r="A25" s="12" t="s">
        <v>96</v>
      </c>
      <c r="B25" s="27" t="s">
        <v>97</v>
      </c>
    </row>
    <row r="26" spans="1:2" x14ac:dyDescent="0.3">
      <c r="A26" s="12"/>
      <c r="B26" s="27"/>
    </row>
    <row r="27" spans="1:2" x14ac:dyDescent="0.3">
      <c r="A27" s="25" t="s">
        <v>98</v>
      </c>
      <c r="B27" s="26"/>
    </row>
    <row r="28" spans="1:2" x14ac:dyDescent="0.3">
      <c r="A28" s="12" t="s">
        <v>99</v>
      </c>
      <c r="B28" s="27" t="s">
        <v>100</v>
      </c>
    </row>
    <row r="29" spans="1:2" x14ac:dyDescent="0.3">
      <c r="A29" s="12" t="s">
        <v>101</v>
      </c>
      <c r="B29" s="27" t="s">
        <v>102</v>
      </c>
    </row>
    <row r="30" spans="1:2" x14ac:dyDescent="0.3">
      <c r="A30" s="12"/>
      <c r="B30" s="27"/>
    </row>
    <row r="31" spans="1:2" x14ac:dyDescent="0.3">
      <c r="A31" s="25" t="s">
        <v>103</v>
      </c>
      <c r="B31" s="26"/>
    </row>
    <row r="32" spans="1:2" x14ac:dyDescent="0.3">
      <c r="A32" s="12" t="s">
        <v>104</v>
      </c>
      <c r="B32" s="27" t="s">
        <v>105</v>
      </c>
    </row>
    <row r="33" spans="1:2" x14ac:dyDescent="0.3">
      <c r="A33" s="12" t="s">
        <v>106</v>
      </c>
      <c r="B33" s="27" t="s">
        <v>107</v>
      </c>
    </row>
    <row r="34" spans="1:2" x14ac:dyDescent="0.3">
      <c r="A34" s="12"/>
      <c r="B34" s="27"/>
    </row>
    <row r="35" spans="1:2" x14ac:dyDescent="0.3">
      <c r="A35" s="25" t="s">
        <v>108</v>
      </c>
      <c r="B35" s="26"/>
    </row>
    <row r="36" spans="1:2" x14ac:dyDescent="0.3">
      <c r="A36" s="12" t="s">
        <v>109</v>
      </c>
      <c r="B36" s="27" t="s">
        <v>110</v>
      </c>
    </row>
    <row r="37" spans="1:2" x14ac:dyDescent="0.3">
      <c r="A37" s="12" t="s">
        <v>111</v>
      </c>
      <c r="B37" s="27" t="s">
        <v>112</v>
      </c>
    </row>
    <row r="38" spans="1:2" x14ac:dyDescent="0.3">
      <c r="A38" s="12" t="s">
        <v>113</v>
      </c>
      <c r="B38" s="27" t="s">
        <v>114</v>
      </c>
    </row>
    <row r="39" spans="1:2" x14ac:dyDescent="0.3">
      <c r="A39" s="12" t="s">
        <v>115</v>
      </c>
      <c r="B39" s="27" t="s">
        <v>116</v>
      </c>
    </row>
    <row r="40" spans="1:2" x14ac:dyDescent="0.3">
      <c r="A40" s="12"/>
      <c r="B40" s="27"/>
    </row>
    <row r="41" spans="1:2" x14ac:dyDescent="0.3">
      <c r="A41" s="25" t="s">
        <v>117</v>
      </c>
      <c r="B41" s="26"/>
    </row>
    <row r="42" spans="1:2" x14ac:dyDescent="0.3">
      <c r="A42" s="12" t="s">
        <v>118</v>
      </c>
      <c r="B42" s="27" t="s">
        <v>119</v>
      </c>
    </row>
    <row r="43" spans="1:2" x14ac:dyDescent="0.3">
      <c r="A43" s="12" t="s">
        <v>120</v>
      </c>
      <c r="B43" s="27" t="s">
        <v>121</v>
      </c>
    </row>
    <row r="44" spans="1:2" x14ac:dyDescent="0.3">
      <c r="A44" s="12" t="s">
        <v>122</v>
      </c>
      <c r="B44" s="27" t="s">
        <v>123</v>
      </c>
    </row>
    <row r="45" spans="1:2" x14ac:dyDescent="0.3">
      <c r="A45" s="12" t="s">
        <v>124</v>
      </c>
      <c r="B45" s="27" t="s">
        <v>125</v>
      </c>
    </row>
    <row r="46" spans="1:2" x14ac:dyDescent="0.3">
      <c r="A46" s="12" t="s">
        <v>126</v>
      </c>
      <c r="B46" s="27" t="s">
        <v>127</v>
      </c>
    </row>
    <row r="47" spans="1:2" x14ac:dyDescent="0.3">
      <c r="A47" s="12" t="s">
        <v>128</v>
      </c>
      <c r="B47" s="27" t="s">
        <v>129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Comparativo 3 Escenarios</vt:lpstr>
      <vt:lpstr>Flujo de Caja</vt:lpstr>
      <vt:lpstr>Value Engineering</vt:lpstr>
      <vt:lpstr>Condiciones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Michelena</cp:lastModifiedBy>
  <cp:revision>0</cp:revision>
  <dcterms:created xsi:type="dcterms:W3CDTF">2026-05-19T15:43:52Z</dcterms:created>
  <dcterms:modified xsi:type="dcterms:W3CDTF">2026-05-19T15:51:02Z</dcterms:modified>
  <dc:language>en-US</dc:language>
</cp:coreProperties>
</file>