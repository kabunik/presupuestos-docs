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michelena\Desktop\Software DM\Nueva carpeta\"/>
    </mc:Choice>
  </mc:AlternateContent>
  <xr:revisionPtr revIDLastSave="0" documentId="8_{8A1F86EE-5652-45CA-9293-5CE76E567DE8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Resumen Escenarios" sheetId="1" r:id="rId1"/>
    <sheet name="Desglose A" sheetId="2" r:id="rId2"/>
    <sheet name="Desglose B" sheetId="3" r:id="rId3"/>
    <sheet name="Desglose C" sheetId="4" r:id="rId4"/>
    <sheet name="Flujo de Caja" sheetId="5" r:id="rId5"/>
    <sheet name="Asunciones Comerciales" sheetId="6" r:id="rId6"/>
  </sheets>
  <calcPr calcId="191029"/>
</workbook>
</file>

<file path=xl/calcChain.xml><?xml version="1.0" encoding="utf-8"?>
<calcChain xmlns="http://schemas.openxmlformats.org/spreadsheetml/2006/main">
  <c r="A17" i="4" l="1"/>
  <c r="A15" i="4"/>
  <c r="A10" i="4"/>
  <c r="A17" i="3"/>
  <c r="A15" i="3"/>
  <c r="A10" i="3"/>
  <c r="A17" i="2"/>
  <c r="A15" i="2"/>
  <c r="A10" i="2"/>
</calcChain>
</file>

<file path=xl/sharedStrings.xml><?xml version="1.0" encoding="utf-8"?>
<sst xmlns="http://schemas.openxmlformats.org/spreadsheetml/2006/main" count="194" uniqueCount="130">
  <si>
    <t>OFERTA COMERCIAL - 3 ESCENARIOS</t>
  </si>
  <si>
    <t>Grupo BAYSA / METALITEC  |  CNAR Metropolitano - Cabudare, Edo. Lara, Venezuela</t>
  </si>
  <si>
    <t>CONCEPTO</t>
  </si>
  <si>
    <t>Unidad</t>
  </si>
  <si>
    <t>A - BASE</t>
  </si>
  <si>
    <t>B - OPTIMIZADO</t>
  </si>
  <si>
    <t>C - MINIMO VIABLE</t>
  </si>
  <si>
    <t>Peso cobrable AISC</t>
  </si>
  <si>
    <t>ton</t>
  </si>
  <si>
    <t>Peso facturable al cliente</t>
  </si>
  <si>
    <t>Peso material a comprar</t>
  </si>
  <si>
    <t>COSTOS</t>
  </si>
  <si>
    <t>Costo de material</t>
  </si>
  <si>
    <t>MXN</t>
  </si>
  <si>
    <t>Mano de obra de fabricacion</t>
  </si>
  <si>
    <t>Consumibles soldadura</t>
  </si>
  <si>
    <t>Recubrimiento / pintura</t>
  </si>
  <si>
    <t>Transporte y maniobras</t>
  </si>
  <si>
    <t>COSTO DIRECTO</t>
  </si>
  <si>
    <t>Indirectos</t>
  </si>
  <si>
    <t>Utilidad</t>
  </si>
  <si>
    <t>Imprevistos</t>
  </si>
  <si>
    <t>Pernos de anclaje F1554</t>
  </si>
  <si>
    <t>SUBTOTAL (sin IVA)</t>
  </si>
  <si>
    <t>IVA (16%)</t>
  </si>
  <si>
    <t>TOTAL CON IVA</t>
  </si>
  <si>
    <t>INDICADORES</t>
  </si>
  <si>
    <t>Precio $/ton (sobre AISC)</t>
  </si>
  <si>
    <t>MXN/ton</t>
  </si>
  <si>
    <t>Precio $/ton (sobre facturable)</t>
  </si>
  <si>
    <t>Margen de utilidad</t>
  </si>
  <si>
    <t>%</t>
  </si>
  <si>
    <t>HH/ton taller</t>
  </si>
  <si>
    <t>HH</t>
  </si>
  <si>
    <t>DESGLOSE ESCENARIO A - BASE</t>
  </si>
  <si>
    <t>MONTO (MXN)</t>
  </si>
  <si>
    <t>% del subtotal</t>
  </si>
  <si>
    <t>Consumibles de soldadura</t>
  </si>
  <si>
    <t>Indirectos (12%)</t>
  </si>
  <si>
    <t>Utilidad (18%)</t>
  </si>
  <si>
    <t>Imprevistos (3%)</t>
  </si>
  <si>
    <t>DESGLOSE ESCENARIO B - OPTIMIZADO</t>
  </si>
  <si>
    <t>DESGLOSE ESCENARIO C - MINIMO VIABLE</t>
  </si>
  <si>
    <t>Utilidad (12%)</t>
  </si>
  <si>
    <t>Imprevistos (2%)</t>
  </si>
  <si>
    <t>FLUJO DE CAJA - ESCENARIO B (OPTIMIZADO)</t>
  </si>
  <si>
    <t>Estructura de pago: 30% anticipo / 65% avance / 5% contra entrega</t>
  </si>
  <si>
    <t>Semana</t>
  </si>
  <si>
    <t>Hito</t>
  </si>
  <si>
    <t>% Cobro</t>
  </si>
  <si>
    <t>Ingreso (MXN)</t>
  </si>
  <si>
    <t>Egreso est. (MXN)</t>
  </si>
  <si>
    <t>Saldo acum. (MXN)</t>
  </si>
  <si>
    <t>Firma de contrato - Anticipo 30%</t>
  </si>
  <si>
    <t>Compra de material / ingenieria de detalle</t>
  </si>
  <si>
    <t>Fabricacion 40% - Cobro avance</t>
  </si>
  <si>
    <t>Fabricacion 90% - Cobro avance</t>
  </si>
  <si>
    <t>Granallado, recubrimiento y embarque</t>
  </si>
  <si>
    <t>Entrega en puerto MX - Retencion 5%</t>
  </si>
  <si>
    <t>TOTAL</t>
  </si>
  <si>
    <t>ASUNCIONES COMERCIALES Y NOTAS DE OFERTA</t>
  </si>
  <si>
    <t>BASE DE LA OFERTA</t>
  </si>
  <si>
    <t>290.98 ton (modelo BIM validado, 2a pasada)</t>
  </si>
  <si>
    <t>Peso facturable</t>
  </si>
  <si>
    <t>331.71 ton (AISC + tornilleria + soldadura + conexiones)</t>
  </si>
  <si>
    <t>Factor global</t>
  </si>
  <si>
    <t>1.1915x (dentro del rango sano 1.10-1.25x)</t>
  </si>
  <si>
    <t>PRECIOS UNITARIOS APLICADOS (MXN)</t>
  </si>
  <si>
    <t>Perfil estructural A572 Gr.50</t>
  </si>
  <si>
    <t>$24,800 / ton</t>
  </si>
  <si>
    <t>Placa A36</t>
  </si>
  <si>
    <t>$22,000 / ton</t>
  </si>
  <si>
    <t>$38,000 / ton (partida aparte)</t>
  </si>
  <si>
    <t>Tarifa MO taller</t>
  </si>
  <si>
    <t>$185 / HH</t>
  </si>
  <si>
    <t>38 HH/ton (ponderado por composicion)</t>
  </si>
  <si>
    <t>$1,850 / ton facturable</t>
  </si>
  <si>
    <t>Recubrimiento (sistema C3)</t>
  </si>
  <si>
    <t>$3,200 / ton facturable</t>
  </si>
  <si>
    <t>Transporte + maniobras</t>
  </si>
  <si>
    <t>$2,720 / ton facturable</t>
  </si>
  <si>
    <t>FACTORES FINANCIEROS</t>
  </si>
  <si>
    <t>12%</t>
  </si>
  <si>
    <t>Utilidad (A y B)</t>
  </si>
  <si>
    <t>18%  |  Escenario C: 12%</t>
  </si>
  <si>
    <t>Imprevistos (A y B)</t>
  </si>
  <si>
    <t>3%  |  Escenario C: 2%</t>
  </si>
  <si>
    <t>IVA</t>
  </si>
  <si>
    <t>16%</t>
  </si>
  <si>
    <t>DESCRIPCION DE ESCENARIOS</t>
  </si>
  <si>
    <t>Caso de referencia. Sin optimizaciones. Todos los factores estandar.</t>
  </si>
  <si>
    <t>Aplica 4 estrategias de Value Engineering (ver abajo). Margen 18%.</t>
  </si>
  <si>
    <t>Mantiene optimizaciones de B con margen reducido (utilidad 12%) para ganar la obra.</t>
  </si>
  <si>
    <t>VALUE ENGINEERING - ESCENARIO B</t>
  </si>
  <si>
    <t>1. Compra anticipada de perfil</t>
  </si>
  <si>
    <t>Ahorro 3% en costo de material (bloqueo de precio)</t>
  </si>
  <si>
    <t>2. Optimizacion de armado en taller</t>
  </si>
  <si>
    <t>Pre-armado de marcos y conjuntos repetitivos, -8% HH de taller</t>
  </si>
  <si>
    <t>3. Consolidacion de lotes de transporte</t>
  </si>
  <si>
    <t>Ahorro 8% en transporte terrestre a puerto</t>
  </si>
  <si>
    <t>4. Optimizacion de spec de recubrimiento</t>
  </si>
  <si>
    <t>C3 -&gt; C2 en zonas cerradas, ahorro 10%</t>
  </si>
  <si>
    <t>CALIBRACION BAYSA</t>
  </si>
  <si>
    <t>Rango educativo/deportivo</t>
  </si>
  <si>
    <t>$65,000 - $88,000 /ton AISC</t>
  </si>
  <si>
    <t>Escenario A</t>
  </si>
  <si>
    <t>$68,525/ton AISC -&gt; dentro de rango</t>
  </si>
  <si>
    <t>Escenario B</t>
  </si>
  <si>
    <t>$65,976/ton AISC -&gt; dentro de rango</t>
  </si>
  <si>
    <t>Escenario C</t>
  </si>
  <si>
    <t>$62,032/ton AISC -&gt; 4.6% bajo piso (margen reducido, defendible)</t>
  </si>
  <si>
    <t>PENDIENTES COMERCIALES POR DEFINIR</t>
  </si>
  <si>
    <t>1</t>
  </si>
  <si>
    <t>Moneda de facturacion (MXN vs USD) - proyecto en Venezuela</t>
  </si>
  <si>
    <t>2</t>
  </si>
  <si>
    <t>Marco contractual para cliente venezolano</t>
  </si>
  <si>
    <t>3</t>
  </si>
  <si>
    <t>Sistema de pintura final (C2 vs C3 segun ISO 12944)</t>
  </si>
  <si>
    <t>4</t>
  </si>
  <si>
    <t>Confirmar 30% de anticipo (prerequisito de estrategias V.E.)</t>
  </si>
  <si>
    <t>5</t>
  </si>
  <si>
    <t>Clausula de ajuste de precio de acero (variacion &gt;5%)</t>
  </si>
  <si>
    <t>6</t>
  </si>
  <si>
    <t>Transporte: se cotiza hasta puerto de embarque MX; flete maritimo no incluido</t>
  </si>
  <si>
    <t>ADVERTENCIAS TECNICAS</t>
  </si>
  <si>
    <t>Computo basado en modelo BIM validado 2a pasada (viguetas 5/crujia confirmadas)</t>
  </si>
  <si>
    <t>Grado de acero de perfiles asumido A572 Gr.50 - confirmar con estructurista</t>
  </si>
  <si>
    <t>Cartelas y atiesadores incluidos en el 10% de conexiones</t>
  </si>
  <si>
    <t>Escaleras y concreto armado NO incluidos (fuera de alcance)</t>
  </si>
  <si>
    <t>Flete maritimo Mexico-Venezuela: partida a cotizar por separado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</si>
</sst>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8"/>
      <color rgb="FF404040"/>
      <name val="Arial"/>
    </font>
    <font>
      <b/>
      <sz val="9"/>
      <color rgb="FFFFFFFF"/>
      <name val="Arial"/>
    </font>
    <font>
      <sz val="9"/>
      <name val="Arial"/>
    </font>
    <font>
      <b/>
      <sz val="9"/>
      <name val="Arial"/>
    </font>
    <font>
      <i/>
      <sz val="9"/>
      <name val="Arial"/>
    </font>
    <font>
      <b/>
      <sz val="10"/>
      <color rgb="FF1F3864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right" vertical="center"/>
    </xf>
    <xf numFmtId="0" fontId="5" fillId="0" borderId="0" xfId="0" applyFont="1"/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9" fontId="4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5" fillId="4" borderId="1" xfId="0" applyFont="1" applyFill="1" applyBorder="1"/>
    <xf numFmtId="164" fontId="5" fillId="4" borderId="1" xfId="0" applyNumberFormat="1" applyFont="1" applyFill="1" applyBorder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7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34" customWidth="1"/>
    <col min="2" max="2" width="12" customWidth="1"/>
    <col min="3" max="5" width="18" customWidth="1"/>
  </cols>
  <sheetData>
    <row r="1" spans="1:5" ht="28.05" customHeight="1" x14ac:dyDescent="0.3">
      <c r="A1" s="32" t="s">
        <v>0</v>
      </c>
      <c r="B1" s="31"/>
      <c r="C1" s="31"/>
      <c r="D1" s="31"/>
      <c r="E1" s="31"/>
    </row>
    <row r="2" spans="1:5" x14ac:dyDescent="0.3">
      <c r="A2" s="30" t="s">
        <v>1</v>
      </c>
      <c r="B2" s="31"/>
      <c r="C2" s="31"/>
      <c r="D2" s="31"/>
      <c r="E2" s="31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 t="s">
        <v>7</v>
      </c>
      <c r="B5" s="3" t="s">
        <v>8</v>
      </c>
      <c r="C5" s="4">
        <v>290.97762</v>
      </c>
      <c r="D5" s="4">
        <v>290.97762</v>
      </c>
      <c r="E5" s="4">
        <v>290.97762</v>
      </c>
    </row>
    <row r="6" spans="1:5" x14ac:dyDescent="0.3">
      <c r="A6" s="2" t="s">
        <v>9</v>
      </c>
      <c r="B6" s="3" t="s">
        <v>8</v>
      </c>
      <c r="C6" s="4">
        <v>331.71448679999997</v>
      </c>
      <c r="D6" s="4">
        <v>331.71448679999997</v>
      </c>
      <c r="E6" s="4">
        <v>331.71448679999997</v>
      </c>
    </row>
    <row r="7" spans="1:5" x14ac:dyDescent="0.3">
      <c r="A7" s="2" t="s">
        <v>10</v>
      </c>
      <c r="B7" s="3" t="s">
        <v>8</v>
      </c>
      <c r="C7" s="4">
        <v>346.6873506</v>
      </c>
      <c r="D7" s="4">
        <v>346.6873506</v>
      </c>
      <c r="E7" s="4">
        <v>346.6873506</v>
      </c>
    </row>
    <row r="9" spans="1:5" x14ac:dyDescent="0.3">
      <c r="A9" s="5" t="s">
        <v>11</v>
      </c>
    </row>
    <row r="10" spans="1:5" x14ac:dyDescent="0.3">
      <c r="A10" s="2" t="s">
        <v>12</v>
      </c>
      <c r="B10" s="3" t="s">
        <v>13</v>
      </c>
      <c r="C10" s="6">
        <v>8582130.289482994</v>
      </c>
      <c r="D10" s="6">
        <v>8324666.3807985038</v>
      </c>
      <c r="E10" s="6">
        <v>8324666.3807985038</v>
      </c>
    </row>
    <row r="11" spans="1:5" x14ac:dyDescent="0.3">
      <c r="A11" s="2" t="s">
        <v>14</v>
      </c>
      <c r="B11" s="3" t="s">
        <v>13</v>
      </c>
      <c r="C11" s="6">
        <v>2331952.8422039999</v>
      </c>
      <c r="D11" s="6">
        <v>2145396.6148276799</v>
      </c>
      <c r="E11" s="6">
        <v>2145396.6148276799</v>
      </c>
    </row>
    <row r="12" spans="1:5" x14ac:dyDescent="0.3">
      <c r="A12" s="2" t="s">
        <v>15</v>
      </c>
      <c r="B12" s="3" t="s">
        <v>13</v>
      </c>
      <c r="C12" s="6">
        <v>613671.80058000004</v>
      </c>
      <c r="D12" s="6">
        <v>613671.80058000004</v>
      </c>
      <c r="E12" s="6">
        <v>613671.80058000004</v>
      </c>
    </row>
    <row r="13" spans="1:5" x14ac:dyDescent="0.3">
      <c r="A13" s="2" t="s">
        <v>16</v>
      </c>
      <c r="B13" s="3" t="s">
        <v>13</v>
      </c>
      <c r="C13" s="6">
        <v>1061486.35776</v>
      </c>
      <c r="D13" s="6">
        <v>955337.72198400006</v>
      </c>
      <c r="E13" s="6">
        <v>955337.72198400006</v>
      </c>
    </row>
    <row r="14" spans="1:5" x14ac:dyDescent="0.3">
      <c r="A14" s="2" t="s">
        <v>17</v>
      </c>
      <c r="B14" s="3" t="s">
        <v>13</v>
      </c>
      <c r="C14" s="6">
        <v>902263.40409600013</v>
      </c>
      <c r="D14" s="6">
        <v>830082.33176832017</v>
      </c>
      <c r="E14" s="6">
        <v>830082.33176832017</v>
      </c>
    </row>
    <row r="15" spans="1:5" x14ac:dyDescent="0.3">
      <c r="A15" s="7" t="s">
        <v>18</v>
      </c>
      <c r="B15" s="8" t="s">
        <v>13</v>
      </c>
      <c r="C15" s="9">
        <v>13491504.694123</v>
      </c>
      <c r="D15" s="9">
        <v>12869154.849958509</v>
      </c>
      <c r="E15" s="9">
        <v>12869154.849958509</v>
      </c>
    </row>
    <row r="16" spans="1:5" x14ac:dyDescent="0.3">
      <c r="A16" s="2" t="s">
        <v>19</v>
      </c>
      <c r="B16" s="3" t="s">
        <v>13</v>
      </c>
      <c r="C16" s="6">
        <v>1618980.563294759</v>
      </c>
      <c r="D16" s="6">
        <v>1544298.5819950211</v>
      </c>
      <c r="E16" s="6">
        <v>1544298.5819950211</v>
      </c>
    </row>
    <row r="17" spans="1:5" x14ac:dyDescent="0.3">
      <c r="A17" s="2" t="s">
        <v>20</v>
      </c>
      <c r="B17" s="3" t="s">
        <v>13</v>
      </c>
      <c r="C17" s="6">
        <v>2719887.3463351959</v>
      </c>
      <c r="D17" s="6">
        <v>2594421.6177516351</v>
      </c>
      <c r="E17" s="6">
        <v>1729614.411834423</v>
      </c>
    </row>
    <row r="18" spans="1:5" x14ac:dyDescent="0.3">
      <c r="A18" s="2" t="s">
        <v>21</v>
      </c>
      <c r="B18" s="3" t="s">
        <v>13</v>
      </c>
      <c r="C18" s="6">
        <v>534911.17811258859</v>
      </c>
      <c r="D18" s="6">
        <v>510236.25149115478</v>
      </c>
      <c r="E18" s="6">
        <v>322861.35687575908</v>
      </c>
    </row>
    <row r="19" spans="1:5" x14ac:dyDescent="0.3">
      <c r="A19" s="2" t="s">
        <v>22</v>
      </c>
      <c r="B19" s="3" t="s">
        <v>13</v>
      </c>
      <c r="C19" s="6">
        <v>88457.196479999999</v>
      </c>
      <c r="D19" s="6">
        <v>88457.196479999999</v>
      </c>
      <c r="E19" s="6">
        <v>88457.196479999999</v>
      </c>
    </row>
    <row r="20" spans="1:5" x14ac:dyDescent="0.3">
      <c r="A20" s="10" t="s">
        <v>23</v>
      </c>
      <c r="B20" s="11" t="s">
        <v>13</v>
      </c>
      <c r="C20" s="12">
        <v>18453740.978345539</v>
      </c>
      <c r="D20" s="12">
        <v>17606568.49767632</v>
      </c>
      <c r="E20" s="12">
        <v>16554386.39714371</v>
      </c>
    </row>
    <row r="21" spans="1:5" x14ac:dyDescent="0.3">
      <c r="A21" s="2" t="s">
        <v>24</v>
      </c>
      <c r="B21" s="3" t="s">
        <v>13</v>
      </c>
      <c r="C21" s="6">
        <v>2952598.5565352859</v>
      </c>
      <c r="D21" s="6">
        <v>2817050.9596282109</v>
      </c>
      <c r="E21" s="6">
        <v>2648701.823542994</v>
      </c>
    </row>
    <row r="22" spans="1:5" x14ac:dyDescent="0.3">
      <c r="A22" s="13" t="s">
        <v>25</v>
      </c>
      <c r="B22" s="14" t="s">
        <v>13</v>
      </c>
      <c r="C22" s="15">
        <v>21406339.534880821</v>
      </c>
      <c r="D22" s="15">
        <v>20423619.45730453</v>
      </c>
      <c r="E22" s="15">
        <v>19203088.220686711</v>
      </c>
    </row>
    <row r="24" spans="1:5" x14ac:dyDescent="0.3">
      <c r="A24" s="5" t="s">
        <v>26</v>
      </c>
    </row>
    <row r="25" spans="1:5" x14ac:dyDescent="0.3">
      <c r="A25" s="16" t="s">
        <v>27</v>
      </c>
      <c r="B25" s="17" t="s">
        <v>28</v>
      </c>
      <c r="C25" s="18">
        <v>63419.794891255013</v>
      </c>
      <c r="D25" s="18">
        <v>60508.325340197363</v>
      </c>
      <c r="E25" s="18">
        <v>56892.301191905113</v>
      </c>
    </row>
    <row r="26" spans="1:5" x14ac:dyDescent="0.3">
      <c r="A26" s="2" t="s">
        <v>29</v>
      </c>
      <c r="B26" s="3" t="s">
        <v>28</v>
      </c>
      <c r="C26" s="6">
        <v>55631.399027416657</v>
      </c>
      <c r="D26" s="6">
        <v>53077.478368594173</v>
      </c>
      <c r="E26" s="6">
        <v>49905.527361320273</v>
      </c>
    </row>
    <row r="27" spans="1:5" x14ac:dyDescent="0.3">
      <c r="A27" s="16" t="s">
        <v>30</v>
      </c>
      <c r="B27" s="17" t="s">
        <v>31</v>
      </c>
      <c r="C27" s="19">
        <v>0.1473894832233115</v>
      </c>
      <c r="D27" s="19">
        <v>0.14735532469566931</v>
      </c>
      <c r="E27" s="19">
        <v>0.1044807321963229</v>
      </c>
    </row>
    <row r="28" spans="1:5" x14ac:dyDescent="0.3">
      <c r="A28" s="2" t="s">
        <v>32</v>
      </c>
      <c r="B28" s="3" t="s">
        <v>33</v>
      </c>
      <c r="C28" s="20">
        <v>38</v>
      </c>
      <c r="D28" s="20">
        <v>34.96</v>
      </c>
      <c r="E28" s="20">
        <v>34.96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baseColWidth="10" defaultColWidth="8.88671875" defaultRowHeight="14.4" x14ac:dyDescent="0.3"/>
  <cols>
    <col min="1" max="1" width="34" customWidth="1"/>
    <col min="2" max="2" width="18" customWidth="1"/>
    <col min="3" max="3" width="16" customWidth="1"/>
  </cols>
  <sheetData>
    <row r="1" spans="1:3" ht="28.05" customHeight="1" x14ac:dyDescent="0.3">
      <c r="A1" s="32" t="s">
        <v>34</v>
      </c>
      <c r="B1" s="31"/>
      <c r="C1" s="31"/>
    </row>
    <row r="2" spans="1:3" x14ac:dyDescent="0.3">
      <c r="A2" s="30" t="s">
        <v>1</v>
      </c>
      <c r="B2" s="31"/>
      <c r="C2" s="31"/>
    </row>
    <row r="4" spans="1:3" x14ac:dyDescent="0.3">
      <c r="A4" s="1" t="s">
        <v>2</v>
      </c>
      <c r="B4" s="1" t="s">
        <v>35</v>
      </c>
      <c r="C4" s="1" t="s">
        <v>36</v>
      </c>
    </row>
    <row r="5" spans="1:3" x14ac:dyDescent="0.3">
      <c r="A5" s="2" t="s">
        <v>12</v>
      </c>
      <c r="B5" s="6">
        <v>8582130.289482994</v>
      </c>
      <c r="C5" s="21">
        <v>0.46506181589703988</v>
      </c>
    </row>
    <row r="6" spans="1:3" x14ac:dyDescent="0.3">
      <c r="A6" s="2" t="s">
        <v>14</v>
      </c>
      <c r="B6" s="6">
        <v>2331952.8422039999</v>
      </c>
      <c r="C6" s="21">
        <v>0.1263674853212918</v>
      </c>
    </row>
    <row r="7" spans="1:3" x14ac:dyDescent="0.3">
      <c r="A7" s="2" t="s">
        <v>37</v>
      </c>
      <c r="B7" s="6">
        <v>613671.80058000004</v>
      </c>
      <c r="C7" s="21">
        <v>3.3254601400339943E-2</v>
      </c>
    </row>
    <row r="8" spans="1:3" x14ac:dyDescent="0.3">
      <c r="A8" s="2" t="s">
        <v>16</v>
      </c>
      <c r="B8" s="6">
        <v>1061486.35776</v>
      </c>
      <c r="C8" s="21">
        <v>5.752147269247989E-2</v>
      </c>
    </row>
    <row r="9" spans="1:3" x14ac:dyDescent="0.3">
      <c r="A9" s="2" t="s">
        <v>17</v>
      </c>
      <c r="B9" s="6">
        <v>902263.40409600013</v>
      </c>
      <c r="C9" s="21">
        <v>4.8893251788607907E-2</v>
      </c>
    </row>
    <row r="10" spans="1:3" x14ac:dyDescent="0.3">
      <c r="A10" s="10" t="e">
        <f>COSTO DIRECTO</f>
        <v>#NAME?</v>
      </c>
      <c r="B10" s="12">
        <v>13491504.694123</v>
      </c>
      <c r="C10" s="22">
        <v>0.73109862709975948</v>
      </c>
    </row>
    <row r="11" spans="1:3" x14ac:dyDescent="0.3">
      <c r="A11" s="2" t="s">
        <v>38</v>
      </c>
      <c r="B11" s="6">
        <v>1618980.563294759</v>
      </c>
      <c r="C11" s="21">
        <v>8.7731835251971133E-2</v>
      </c>
    </row>
    <row r="12" spans="1:3" x14ac:dyDescent="0.3">
      <c r="A12" s="2" t="s">
        <v>39</v>
      </c>
      <c r="B12" s="6">
        <v>2719887.3463351959</v>
      </c>
      <c r="C12" s="21">
        <v>0.1473894832233115</v>
      </c>
    </row>
    <row r="13" spans="1:3" x14ac:dyDescent="0.3">
      <c r="A13" s="2" t="s">
        <v>40</v>
      </c>
      <c r="B13" s="6">
        <v>534911.17811258859</v>
      </c>
      <c r="C13" s="21">
        <v>2.898659836725127E-2</v>
      </c>
    </row>
    <row r="14" spans="1:3" x14ac:dyDescent="0.3">
      <c r="A14" s="2" t="s">
        <v>22</v>
      </c>
      <c r="B14" s="6">
        <v>88457.196479999999</v>
      </c>
      <c r="C14" s="21">
        <v>4.7934560577066569E-3</v>
      </c>
    </row>
    <row r="15" spans="1:3" x14ac:dyDescent="0.3">
      <c r="A15" s="10" t="e">
        <f>SUBTOTAL (sin IVA)</f>
        <v>#NAME?</v>
      </c>
      <c r="B15" s="12">
        <v>18453740.978345539</v>
      </c>
      <c r="C15" s="22">
        <v>1</v>
      </c>
    </row>
    <row r="16" spans="1:3" x14ac:dyDescent="0.3">
      <c r="A16" s="2" t="s">
        <v>24</v>
      </c>
      <c r="B16" s="6">
        <v>2952598.5565352859</v>
      </c>
      <c r="C16" s="21">
        <v>0.16</v>
      </c>
    </row>
    <row r="17" spans="1:3" x14ac:dyDescent="0.3">
      <c r="A17" s="10" t="e">
        <f>TOTAL CON IVA</f>
        <v>#NAME?</v>
      </c>
      <c r="B17" s="12">
        <v>21406339.534880821</v>
      </c>
      <c r="C17" s="22">
        <v>1.1599999999999999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baseColWidth="10" defaultColWidth="8.88671875" defaultRowHeight="14.4" x14ac:dyDescent="0.3"/>
  <cols>
    <col min="1" max="1" width="34" customWidth="1"/>
    <col min="2" max="2" width="18" customWidth="1"/>
    <col min="3" max="3" width="16" customWidth="1"/>
  </cols>
  <sheetData>
    <row r="1" spans="1:3" ht="28.05" customHeight="1" x14ac:dyDescent="0.3">
      <c r="A1" s="32" t="s">
        <v>41</v>
      </c>
      <c r="B1" s="31"/>
      <c r="C1" s="31"/>
    </row>
    <row r="2" spans="1:3" x14ac:dyDescent="0.3">
      <c r="A2" s="30" t="s">
        <v>1</v>
      </c>
      <c r="B2" s="31"/>
      <c r="C2" s="31"/>
    </row>
    <row r="4" spans="1:3" x14ac:dyDescent="0.3">
      <c r="A4" s="1" t="s">
        <v>2</v>
      </c>
      <c r="B4" s="1" t="s">
        <v>35</v>
      </c>
      <c r="C4" s="1" t="s">
        <v>36</v>
      </c>
    </row>
    <row r="5" spans="1:3" x14ac:dyDescent="0.3">
      <c r="A5" s="2" t="s">
        <v>12</v>
      </c>
      <c r="B5" s="6">
        <v>8324666.3807985038</v>
      </c>
      <c r="C5" s="21">
        <v>0.47281594831481089</v>
      </c>
    </row>
    <row r="6" spans="1:3" x14ac:dyDescent="0.3">
      <c r="A6" s="2" t="s">
        <v>14</v>
      </c>
      <c r="B6" s="6">
        <v>2145396.6148276799</v>
      </c>
      <c r="C6" s="21">
        <v>0.1218520585150267</v>
      </c>
    </row>
    <row r="7" spans="1:3" x14ac:dyDescent="0.3">
      <c r="A7" s="2" t="s">
        <v>37</v>
      </c>
      <c r="B7" s="6">
        <v>613671.80058000004</v>
      </c>
      <c r="C7" s="21">
        <v>3.4854707813222738E-2</v>
      </c>
    </row>
    <row r="8" spans="1:3" x14ac:dyDescent="0.3">
      <c r="A8" s="2" t="s">
        <v>16</v>
      </c>
      <c r="B8" s="6">
        <v>955337.72198400006</v>
      </c>
      <c r="C8" s="21">
        <v>5.4260301893017018E-2</v>
      </c>
    </row>
    <row r="9" spans="1:3" x14ac:dyDescent="0.3">
      <c r="A9" s="2" t="s">
        <v>17</v>
      </c>
      <c r="B9" s="6">
        <v>830082.33176832017</v>
      </c>
      <c r="C9" s="21">
        <v>4.714617342259924E-2</v>
      </c>
    </row>
    <row r="10" spans="1:3" x14ac:dyDescent="0.3">
      <c r="A10" s="10" t="e">
        <f>COSTO DIRECTO</f>
        <v>#NAME?</v>
      </c>
      <c r="B10" s="12">
        <v>12869154.849958509</v>
      </c>
      <c r="C10" s="22">
        <v>0.73092918995867684</v>
      </c>
    </row>
    <row r="11" spans="1:3" x14ac:dyDescent="0.3">
      <c r="A11" s="2" t="s">
        <v>38</v>
      </c>
      <c r="B11" s="6">
        <v>1544298.5819950211</v>
      </c>
      <c r="C11" s="21">
        <v>8.771150279504121E-2</v>
      </c>
    </row>
    <row r="12" spans="1:3" x14ac:dyDescent="0.3">
      <c r="A12" s="2" t="s">
        <v>39</v>
      </c>
      <c r="B12" s="6">
        <v>2594421.6177516351</v>
      </c>
      <c r="C12" s="21">
        <v>0.14735532469566931</v>
      </c>
    </row>
    <row r="13" spans="1:3" x14ac:dyDescent="0.3">
      <c r="A13" s="2" t="s">
        <v>40</v>
      </c>
      <c r="B13" s="6">
        <v>510236.25149115478</v>
      </c>
      <c r="C13" s="21">
        <v>2.8979880523481619E-2</v>
      </c>
    </row>
    <row r="14" spans="1:3" x14ac:dyDescent="0.3">
      <c r="A14" s="2" t="s">
        <v>22</v>
      </c>
      <c r="B14" s="6">
        <v>88457.196479999999</v>
      </c>
      <c r="C14" s="21">
        <v>5.0241020271312052E-3</v>
      </c>
    </row>
    <row r="15" spans="1:3" x14ac:dyDescent="0.3">
      <c r="A15" s="10" t="e">
        <f>SUBTOTAL (sin IVA)</f>
        <v>#NAME?</v>
      </c>
      <c r="B15" s="12">
        <v>17606568.49767632</v>
      </c>
      <c r="C15" s="22">
        <v>1</v>
      </c>
    </row>
    <row r="16" spans="1:3" x14ac:dyDescent="0.3">
      <c r="A16" s="2" t="s">
        <v>24</v>
      </c>
      <c r="B16" s="6">
        <v>2817050.9596282109</v>
      </c>
      <c r="C16" s="21">
        <v>0.16</v>
      </c>
    </row>
    <row r="17" spans="1:3" x14ac:dyDescent="0.3">
      <c r="A17" s="10" t="e">
        <f>TOTAL CON IVA</f>
        <v>#NAME?</v>
      </c>
      <c r="B17" s="12">
        <v>20423619.45730453</v>
      </c>
      <c r="C17" s="22">
        <v>1.1599999999999999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/>
  </sheetViews>
  <sheetFormatPr baseColWidth="10" defaultColWidth="8.88671875" defaultRowHeight="14.4" x14ac:dyDescent="0.3"/>
  <cols>
    <col min="1" max="1" width="34" customWidth="1"/>
    <col min="2" max="2" width="18" customWidth="1"/>
    <col min="3" max="3" width="16" customWidth="1"/>
  </cols>
  <sheetData>
    <row r="1" spans="1:3" ht="28.05" customHeight="1" x14ac:dyDescent="0.3">
      <c r="A1" s="32" t="s">
        <v>42</v>
      </c>
      <c r="B1" s="31"/>
      <c r="C1" s="31"/>
    </row>
    <row r="2" spans="1:3" x14ac:dyDescent="0.3">
      <c r="A2" s="30" t="s">
        <v>1</v>
      </c>
      <c r="B2" s="31"/>
      <c r="C2" s="31"/>
    </row>
    <row r="4" spans="1:3" x14ac:dyDescent="0.3">
      <c r="A4" s="1" t="s">
        <v>2</v>
      </c>
      <c r="B4" s="1" t="s">
        <v>35</v>
      </c>
      <c r="C4" s="1" t="s">
        <v>36</v>
      </c>
    </row>
    <row r="5" spans="1:3" x14ac:dyDescent="0.3">
      <c r="A5" s="2" t="s">
        <v>12</v>
      </c>
      <c r="B5" s="6">
        <v>8324666.3807985038</v>
      </c>
      <c r="C5" s="21">
        <v>0.50286771016984588</v>
      </c>
    </row>
    <row r="6" spans="1:3" x14ac:dyDescent="0.3">
      <c r="A6" s="2" t="s">
        <v>14</v>
      </c>
      <c r="B6" s="6">
        <v>2145396.6148276799</v>
      </c>
      <c r="C6" s="21">
        <v>0.12959686716010491</v>
      </c>
    </row>
    <row r="7" spans="1:3" x14ac:dyDescent="0.3">
      <c r="A7" s="2" t="s">
        <v>37</v>
      </c>
      <c r="B7" s="6">
        <v>613671.80058000004</v>
      </c>
      <c r="C7" s="21">
        <v>3.70700420938515E-2</v>
      </c>
    </row>
    <row r="8" spans="1:3" x14ac:dyDescent="0.3">
      <c r="A8" s="2" t="s">
        <v>16</v>
      </c>
      <c r="B8" s="6">
        <v>955337.72198400006</v>
      </c>
      <c r="C8" s="21">
        <v>5.7709038502860709E-2</v>
      </c>
    </row>
    <row r="9" spans="1:3" x14ac:dyDescent="0.3">
      <c r="A9" s="2" t="s">
        <v>17</v>
      </c>
      <c r="B9" s="6">
        <v>830082.33176832017</v>
      </c>
      <c r="C9" s="21">
        <v>5.0142742343596759E-2</v>
      </c>
    </row>
    <row r="10" spans="1:3" x14ac:dyDescent="0.3">
      <c r="A10" s="10" t="e">
        <f>COSTO DIRECTO</f>
        <v>#NAME?</v>
      </c>
      <c r="B10" s="12">
        <v>12869154.849958509</v>
      </c>
      <c r="C10" s="22">
        <v>0.77738640027025985</v>
      </c>
    </row>
    <row r="11" spans="1:3" x14ac:dyDescent="0.3">
      <c r="A11" s="2" t="s">
        <v>38</v>
      </c>
      <c r="B11" s="6">
        <v>1544298.5819950211</v>
      </c>
      <c r="C11" s="21">
        <v>9.3286368032431191E-2</v>
      </c>
    </row>
    <row r="12" spans="1:3" x14ac:dyDescent="0.3">
      <c r="A12" s="2" t="s">
        <v>43</v>
      </c>
      <c r="B12" s="6">
        <v>1729614.411834423</v>
      </c>
      <c r="C12" s="21">
        <v>0.1044807321963229</v>
      </c>
    </row>
    <row r="13" spans="1:3" x14ac:dyDescent="0.3">
      <c r="A13" s="2" t="s">
        <v>44</v>
      </c>
      <c r="B13" s="6">
        <v>322861.35687575908</v>
      </c>
      <c r="C13" s="21">
        <v>1.9503070009980281E-2</v>
      </c>
    </row>
    <row r="14" spans="1:3" x14ac:dyDescent="0.3">
      <c r="A14" s="2" t="s">
        <v>22</v>
      </c>
      <c r="B14" s="6">
        <v>88457.196479999999</v>
      </c>
      <c r="C14" s="21">
        <v>5.3434294910056209E-3</v>
      </c>
    </row>
    <row r="15" spans="1:3" x14ac:dyDescent="0.3">
      <c r="A15" s="10" t="e">
        <f>SUBTOTAL (sin IVA)</f>
        <v>#NAME?</v>
      </c>
      <c r="B15" s="12">
        <v>16554386.39714371</v>
      </c>
      <c r="C15" s="22">
        <v>1</v>
      </c>
    </row>
    <row r="16" spans="1:3" x14ac:dyDescent="0.3">
      <c r="A16" s="2" t="s">
        <v>24</v>
      </c>
      <c r="B16" s="6">
        <v>2648701.823542994</v>
      </c>
      <c r="C16" s="21">
        <v>0.16</v>
      </c>
    </row>
    <row r="17" spans="1:3" x14ac:dyDescent="0.3">
      <c r="A17" s="10" t="e">
        <f>TOTAL CON IVA</f>
        <v>#NAME?</v>
      </c>
      <c r="B17" s="12">
        <v>19203088.220686711</v>
      </c>
      <c r="C17" s="22">
        <v>1.1599999999999999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/>
  </sheetViews>
  <sheetFormatPr baseColWidth="10" defaultColWidth="8.88671875" defaultRowHeight="14.4" x14ac:dyDescent="0.3"/>
  <cols>
    <col min="1" max="1" width="10" customWidth="1"/>
    <col min="2" max="2" width="38" customWidth="1"/>
    <col min="3" max="3" width="10" customWidth="1"/>
    <col min="4" max="5" width="18" customWidth="1"/>
    <col min="6" max="6" width="20" customWidth="1"/>
  </cols>
  <sheetData>
    <row r="1" spans="1:6" ht="28.05" customHeight="1" x14ac:dyDescent="0.3">
      <c r="A1" s="32" t="s">
        <v>45</v>
      </c>
      <c r="B1" s="31"/>
      <c r="C1" s="31"/>
      <c r="D1" s="31"/>
      <c r="E1" s="31"/>
      <c r="F1" s="31"/>
    </row>
    <row r="2" spans="1:6" x14ac:dyDescent="0.3">
      <c r="A2" s="30" t="s">
        <v>1</v>
      </c>
      <c r="B2" s="31"/>
      <c r="C2" s="31"/>
      <c r="D2" s="31"/>
      <c r="E2" s="31"/>
      <c r="F2" s="31"/>
    </row>
    <row r="4" spans="1:6" x14ac:dyDescent="0.3">
      <c r="A4" s="23" t="s">
        <v>46</v>
      </c>
    </row>
    <row r="6" spans="1:6" x14ac:dyDescent="0.3">
      <c r="A6" s="1" t="s">
        <v>47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52</v>
      </c>
    </row>
    <row r="7" spans="1:6" x14ac:dyDescent="0.3">
      <c r="A7" s="3">
        <v>0</v>
      </c>
      <c r="B7" s="2" t="s">
        <v>53</v>
      </c>
      <c r="C7" s="24">
        <v>0.3</v>
      </c>
      <c r="D7" s="6">
        <v>6127085.8371913573</v>
      </c>
      <c r="E7" s="6">
        <v>0</v>
      </c>
      <c r="F7" s="6">
        <v>6127085.8371913573</v>
      </c>
    </row>
    <row r="8" spans="1:6" x14ac:dyDescent="0.3">
      <c r="A8" s="3">
        <v>2</v>
      </c>
      <c r="B8" s="2" t="s">
        <v>54</v>
      </c>
      <c r="C8" s="24">
        <v>0</v>
      </c>
      <c r="D8" s="6">
        <v>0</v>
      </c>
      <c r="E8" s="6">
        <v>5477112.304142341</v>
      </c>
      <c r="F8" s="6">
        <v>649973.53304901626</v>
      </c>
    </row>
    <row r="9" spans="1:6" x14ac:dyDescent="0.3">
      <c r="A9" s="3">
        <v>8</v>
      </c>
      <c r="B9" s="2" t="s">
        <v>55</v>
      </c>
      <c r="C9" s="24">
        <v>0.25</v>
      </c>
      <c r="D9" s="6">
        <v>5105904.8643261325</v>
      </c>
      <c r="E9" s="6">
        <v>3891632.426627453</v>
      </c>
      <c r="F9" s="6">
        <v>1864245.9707476951</v>
      </c>
    </row>
    <row r="10" spans="1:6" x14ac:dyDescent="0.3">
      <c r="A10" s="3">
        <v>14</v>
      </c>
      <c r="B10" s="2" t="s">
        <v>56</v>
      </c>
      <c r="C10" s="24">
        <v>0.25</v>
      </c>
      <c r="D10" s="6">
        <v>5105904.8643261325</v>
      </c>
      <c r="E10" s="6">
        <v>4035766.9609469878</v>
      </c>
      <c r="F10" s="6">
        <v>2934383.8741268381</v>
      </c>
    </row>
    <row r="11" spans="1:6" x14ac:dyDescent="0.3">
      <c r="A11" s="3">
        <v>18</v>
      </c>
      <c r="B11" s="2" t="s">
        <v>57</v>
      </c>
      <c r="C11" s="24">
        <v>0.15</v>
      </c>
      <c r="D11" s="6">
        <v>3063542.9185956791</v>
      </c>
      <c r="E11" s="6">
        <v>1008941.740236747</v>
      </c>
      <c r="F11" s="6">
        <v>4988985.0524857696</v>
      </c>
    </row>
    <row r="12" spans="1:6" x14ac:dyDescent="0.3">
      <c r="A12" s="3">
        <v>20</v>
      </c>
      <c r="B12" s="2" t="s">
        <v>58</v>
      </c>
      <c r="C12" s="24">
        <v>0.05</v>
      </c>
      <c r="D12" s="6">
        <v>1021180.972865226</v>
      </c>
      <c r="E12" s="6">
        <v>0</v>
      </c>
      <c r="F12" s="6">
        <v>6010166.0253509963</v>
      </c>
    </row>
    <row r="13" spans="1:6" x14ac:dyDescent="0.3">
      <c r="A13" s="25"/>
      <c r="B13" s="26" t="s">
        <v>59</v>
      </c>
      <c r="C13" s="25"/>
      <c r="D13" s="27">
        <v>20423619.45730453</v>
      </c>
      <c r="E13" s="27">
        <v>14413453.431953531</v>
      </c>
      <c r="F13" s="25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5"/>
  <sheetViews>
    <sheetView workbookViewId="0"/>
  </sheetViews>
  <sheetFormatPr baseColWidth="10" defaultColWidth="8.88671875" defaultRowHeight="14.4" x14ac:dyDescent="0.3"/>
  <cols>
    <col min="1" max="1" width="30" customWidth="1"/>
    <col min="2" max="2" width="78" customWidth="1"/>
  </cols>
  <sheetData>
    <row r="1" spans="1:2" ht="28.05" customHeight="1" x14ac:dyDescent="0.3">
      <c r="A1" s="32" t="s">
        <v>60</v>
      </c>
      <c r="B1" s="31"/>
    </row>
    <row r="2" spans="1:2" x14ac:dyDescent="0.3">
      <c r="A2" s="30" t="s">
        <v>1</v>
      </c>
      <c r="B2" s="31"/>
    </row>
    <row r="4" spans="1:2" x14ac:dyDescent="0.3">
      <c r="A4" s="33" t="s">
        <v>61</v>
      </c>
      <c r="B4" s="31"/>
    </row>
    <row r="5" spans="1:2" x14ac:dyDescent="0.3">
      <c r="A5" s="28" t="s">
        <v>7</v>
      </c>
      <c r="B5" s="29" t="s">
        <v>62</v>
      </c>
    </row>
    <row r="6" spans="1:2" x14ac:dyDescent="0.3">
      <c r="A6" s="28" t="s">
        <v>63</v>
      </c>
      <c r="B6" s="29" t="s">
        <v>64</v>
      </c>
    </row>
    <row r="7" spans="1:2" x14ac:dyDescent="0.3">
      <c r="A7" s="28" t="s">
        <v>65</v>
      </c>
      <c r="B7" s="29" t="s">
        <v>66</v>
      </c>
    </row>
    <row r="8" spans="1:2" x14ac:dyDescent="0.3">
      <c r="A8" s="28"/>
      <c r="B8" s="29"/>
    </row>
    <row r="9" spans="1:2" x14ac:dyDescent="0.3">
      <c r="A9" s="33" t="s">
        <v>67</v>
      </c>
      <c r="B9" s="31"/>
    </row>
    <row r="10" spans="1:2" x14ac:dyDescent="0.3">
      <c r="A10" s="28" t="s">
        <v>68</v>
      </c>
      <c r="B10" s="29" t="s">
        <v>69</v>
      </c>
    </row>
    <row r="11" spans="1:2" x14ac:dyDescent="0.3">
      <c r="A11" s="28" t="s">
        <v>70</v>
      </c>
      <c r="B11" s="29" t="s">
        <v>71</v>
      </c>
    </row>
    <row r="12" spans="1:2" x14ac:dyDescent="0.3">
      <c r="A12" s="28" t="s">
        <v>22</v>
      </c>
      <c r="B12" s="29" t="s">
        <v>72</v>
      </c>
    </row>
    <row r="13" spans="1:2" x14ac:dyDescent="0.3">
      <c r="A13" s="28" t="s">
        <v>73</v>
      </c>
      <c r="B13" s="29" t="s">
        <v>74</v>
      </c>
    </row>
    <row r="14" spans="1:2" x14ac:dyDescent="0.3">
      <c r="A14" s="28" t="s">
        <v>32</v>
      </c>
      <c r="B14" s="29" t="s">
        <v>75</v>
      </c>
    </row>
    <row r="15" spans="1:2" x14ac:dyDescent="0.3">
      <c r="A15" s="28" t="s">
        <v>15</v>
      </c>
      <c r="B15" s="29" t="s">
        <v>76</v>
      </c>
    </row>
    <row r="16" spans="1:2" x14ac:dyDescent="0.3">
      <c r="A16" s="28" t="s">
        <v>77</v>
      </c>
      <c r="B16" s="29" t="s">
        <v>78</v>
      </c>
    </row>
    <row r="17" spans="1:2" x14ac:dyDescent="0.3">
      <c r="A17" s="28" t="s">
        <v>79</v>
      </c>
      <c r="B17" s="29" t="s">
        <v>80</v>
      </c>
    </row>
    <row r="18" spans="1:2" x14ac:dyDescent="0.3">
      <c r="A18" s="28"/>
      <c r="B18" s="29"/>
    </row>
    <row r="19" spans="1:2" x14ac:dyDescent="0.3">
      <c r="A19" s="33" t="s">
        <v>81</v>
      </c>
      <c r="B19" s="31"/>
    </row>
    <row r="20" spans="1:2" x14ac:dyDescent="0.3">
      <c r="A20" s="28" t="s">
        <v>19</v>
      </c>
      <c r="B20" s="29" t="s">
        <v>82</v>
      </c>
    </row>
    <row r="21" spans="1:2" x14ac:dyDescent="0.3">
      <c r="A21" s="28" t="s">
        <v>83</v>
      </c>
      <c r="B21" s="29" t="s">
        <v>84</v>
      </c>
    </row>
    <row r="22" spans="1:2" x14ac:dyDescent="0.3">
      <c r="A22" s="28" t="s">
        <v>85</v>
      </c>
      <c r="B22" s="29" t="s">
        <v>86</v>
      </c>
    </row>
    <row r="23" spans="1:2" x14ac:dyDescent="0.3">
      <c r="A23" s="28" t="s">
        <v>87</v>
      </c>
      <c r="B23" s="29" t="s">
        <v>88</v>
      </c>
    </row>
    <row r="24" spans="1:2" x14ac:dyDescent="0.3">
      <c r="A24" s="28"/>
      <c r="B24" s="29"/>
    </row>
    <row r="25" spans="1:2" x14ac:dyDescent="0.3">
      <c r="A25" s="33" t="s">
        <v>89</v>
      </c>
      <c r="B25" s="31"/>
    </row>
    <row r="26" spans="1:2" x14ac:dyDescent="0.3">
      <c r="A26" s="28" t="s">
        <v>4</v>
      </c>
      <c r="B26" s="29" t="s">
        <v>90</v>
      </c>
    </row>
    <row r="27" spans="1:2" x14ac:dyDescent="0.3">
      <c r="A27" s="28" t="s">
        <v>5</v>
      </c>
      <c r="B27" s="29" t="s">
        <v>91</v>
      </c>
    </row>
    <row r="28" spans="1:2" x14ac:dyDescent="0.3">
      <c r="A28" s="28" t="s">
        <v>6</v>
      </c>
      <c r="B28" s="29" t="s">
        <v>92</v>
      </c>
    </row>
    <row r="29" spans="1:2" x14ac:dyDescent="0.3">
      <c r="A29" s="28"/>
      <c r="B29" s="29"/>
    </row>
    <row r="30" spans="1:2" x14ac:dyDescent="0.3">
      <c r="A30" s="33" t="s">
        <v>93</v>
      </c>
      <c r="B30" s="31"/>
    </row>
    <row r="31" spans="1:2" x14ac:dyDescent="0.3">
      <c r="A31" s="28" t="s">
        <v>94</v>
      </c>
      <c r="B31" s="29" t="s">
        <v>95</v>
      </c>
    </row>
    <row r="32" spans="1:2" x14ac:dyDescent="0.3">
      <c r="A32" s="28" t="s">
        <v>96</v>
      </c>
      <c r="B32" s="29" t="s">
        <v>97</v>
      </c>
    </row>
    <row r="33" spans="1:2" ht="24" x14ac:dyDescent="0.3">
      <c r="A33" s="28" t="s">
        <v>98</v>
      </c>
      <c r="B33" s="29" t="s">
        <v>99</v>
      </c>
    </row>
    <row r="34" spans="1:2" ht="24" x14ac:dyDescent="0.3">
      <c r="A34" s="28" t="s">
        <v>100</v>
      </c>
      <c r="B34" s="29" t="s">
        <v>101</v>
      </c>
    </row>
    <row r="35" spans="1:2" x14ac:dyDescent="0.3">
      <c r="A35" s="28"/>
      <c r="B35" s="29"/>
    </row>
    <row r="36" spans="1:2" x14ac:dyDescent="0.3">
      <c r="A36" s="33" t="s">
        <v>102</v>
      </c>
      <c r="B36" s="31"/>
    </row>
    <row r="37" spans="1:2" x14ac:dyDescent="0.3">
      <c r="A37" s="28" t="s">
        <v>103</v>
      </c>
      <c r="B37" s="29" t="s">
        <v>104</v>
      </c>
    </row>
    <row r="38" spans="1:2" x14ac:dyDescent="0.3">
      <c r="A38" s="28" t="s">
        <v>105</v>
      </c>
      <c r="B38" s="29" t="s">
        <v>106</v>
      </c>
    </row>
    <row r="39" spans="1:2" x14ac:dyDescent="0.3">
      <c r="A39" s="28" t="s">
        <v>107</v>
      </c>
      <c r="B39" s="29" t="s">
        <v>108</v>
      </c>
    </row>
    <row r="40" spans="1:2" x14ac:dyDescent="0.3">
      <c r="A40" s="28" t="s">
        <v>109</v>
      </c>
      <c r="B40" s="29" t="s">
        <v>110</v>
      </c>
    </row>
    <row r="41" spans="1:2" x14ac:dyDescent="0.3">
      <c r="A41" s="28"/>
      <c r="B41" s="29"/>
    </row>
    <row r="42" spans="1:2" x14ac:dyDescent="0.3">
      <c r="A42" s="33" t="s">
        <v>111</v>
      </c>
      <c r="B42" s="31"/>
    </row>
    <row r="43" spans="1:2" x14ac:dyDescent="0.3">
      <c r="A43" s="28" t="s">
        <v>112</v>
      </c>
      <c r="B43" s="29" t="s">
        <v>113</v>
      </c>
    </row>
    <row r="44" spans="1:2" x14ac:dyDescent="0.3">
      <c r="A44" s="28" t="s">
        <v>114</v>
      </c>
      <c r="B44" s="29" t="s">
        <v>115</v>
      </c>
    </row>
    <row r="45" spans="1:2" x14ac:dyDescent="0.3">
      <c r="A45" s="28" t="s">
        <v>116</v>
      </c>
      <c r="B45" s="29" t="s">
        <v>117</v>
      </c>
    </row>
    <row r="46" spans="1:2" x14ac:dyDescent="0.3">
      <c r="A46" s="28" t="s">
        <v>118</v>
      </c>
      <c r="B46" s="29" t="s">
        <v>119</v>
      </c>
    </row>
    <row r="47" spans="1:2" x14ac:dyDescent="0.3">
      <c r="A47" s="28" t="s">
        <v>120</v>
      </c>
      <c r="B47" s="29" t="s">
        <v>121</v>
      </c>
    </row>
    <row r="48" spans="1:2" x14ac:dyDescent="0.3">
      <c r="A48" s="28" t="s">
        <v>122</v>
      </c>
      <c r="B48" s="29" t="s">
        <v>123</v>
      </c>
    </row>
    <row r="49" spans="1:2" x14ac:dyDescent="0.3">
      <c r="A49" s="28"/>
      <c r="B49" s="29"/>
    </row>
    <row r="50" spans="1:2" x14ac:dyDescent="0.3">
      <c r="A50" s="33" t="s">
        <v>124</v>
      </c>
      <c r="B50" s="31"/>
    </row>
    <row r="51" spans="1:2" x14ac:dyDescent="0.3">
      <c r="A51" s="28" t="s">
        <v>112</v>
      </c>
      <c r="B51" s="29" t="s">
        <v>125</v>
      </c>
    </row>
    <row r="52" spans="1:2" x14ac:dyDescent="0.3">
      <c r="A52" s="28" t="s">
        <v>114</v>
      </c>
      <c r="B52" s="29" t="s">
        <v>126</v>
      </c>
    </row>
    <row r="53" spans="1:2" x14ac:dyDescent="0.3">
      <c r="A53" s="28" t="s">
        <v>116</v>
      </c>
      <c r="B53" s="29" t="s">
        <v>127</v>
      </c>
    </row>
    <row r="54" spans="1:2" x14ac:dyDescent="0.3">
      <c r="A54" s="28" t="s">
        <v>118</v>
      </c>
      <c r="B54" s="29" t="s">
        <v>128</v>
      </c>
    </row>
    <row r="55" spans="1:2" x14ac:dyDescent="0.3">
      <c r="A55" s="28" t="s">
        <v>120</v>
      </c>
      <c r="B55" s="29" t="s">
        <v>129</v>
      </c>
    </row>
  </sheetData>
  <mergeCells count="10">
    <mergeCell ref="A42:B42"/>
    <mergeCell ref="A36:B36"/>
    <mergeCell ref="A1:B1"/>
    <mergeCell ref="A9:B9"/>
    <mergeCell ref="A50:B50"/>
    <mergeCell ref="A4:B4"/>
    <mergeCell ref="A30:B30"/>
    <mergeCell ref="A2:B2"/>
    <mergeCell ref="A25:B25"/>
    <mergeCell ref="A19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 Escenarios</vt:lpstr>
      <vt:lpstr>Desglose A</vt:lpstr>
      <vt:lpstr>Desglose B</vt:lpstr>
      <vt:lpstr>Desglose C</vt:lpstr>
      <vt:lpstr>Flujo de Caja</vt:lpstr>
      <vt:lpstr>Asunciones Comerciales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Michelena</cp:lastModifiedBy>
  <dcterms:created xsi:type="dcterms:W3CDTF">2026-05-19T15:31:10Z</dcterms:created>
  <dcterms:modified xsi:type="dcterms:W3CDTF">2026-05-19T15:37:35Z</dcterms:modified>
</cp:coreProperties>
</file>