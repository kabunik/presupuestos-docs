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dmichelena\Desktop\Metalitec_Baysa\Ventas Baysa\"/>
    </mc:Choice>
  </mc:AlternateContent>
  <xr:revisionPtr revIDLastSave="0" documentId="8_{75218EC2-EF0C-4040-A15C-F66E7D15FB5C}" xr6:coauthVersionLast="47" xr6:coauthVersionMax="47" xr10:uidLastSave="{00000000-0000-0000-0000-000000000000}"/>
  <bookViews>
    <workbookView xWindow="-108" yWindow="-108" windowWidth="23256" windowHeight="14016" tabRatio="500" firstSheet="8" activeTab="8" xr2:uid="{00000000-000D-0000-FFFF-FFFF00000000}"/>
  </bookViews>
  <sheets>
    <sheet name="Portada" sheetId="1" r:id="rId1"/>
    <sheet name="1. Resumen Ejecutivo" sheetId="2" r:id="rId2"/>
    <sheet name="2. Desperdicio Placas" sheetId="3" r:id="rId3"/>
    <sheet name="3. Desperdicio Perfiles" sheetId="4" r:id="rId4"/>
    <sheet name="4. Tornilleria" sheetId="5" r:id="rId5"/>
    <sheet name="5. Soldadura" sheetId="6" r:id="rId6"/>
    <sheet name="6. Conexiones" sheetId="7" r:id="rId7"/>
    <sheet name="7. Factores por HHton" sheetId="8" r:id="rId8"/>
    <sheet name="8. Ancho a Molino" sheetId="9" r:id="rId9"/>
    <sheet name="9. Calculadora" sheetId="10" r:id="rId10"/>
    <sheet name="10. Notas Tecnicas" sheetId="11" r:id="rId11"/>
    <sheet name="11. Referencias AISC" sheetId="12" r:id="rId12"/>
  </sheets>
  <calcPr calcId="191029"/>
  <extLst>
    <ext xmlns:loext="http://schemas.libreoffice.org/" uri="{7626C862-2A13-11E5-B345-FEFF819CDC9F}">
      <loext:extCalcPr stringRefSyntax="ExcelA1"/>
    </ext>
  </extLst>
</workbook>
</file>

<file path=xl/calcChain.xml><?xml version="1.0" encoding="utf-8"?>
<calcChain xmlns="http://schemas.openxmlformats.org/spreadsheetml/2006/main">
  <c r="C32" i="10" l="1"/>
  <c r="C28" i="10"/>
  <c r="D28" i="10" s="1"/>
  <c r="C36" i="10" s="1"/>
  <c r="C27" i="10"/>
  <c r="D27" i="10" s="1"/>
  <c r="C26" i="10"/>
  <c r="D26" i="10" s="1"/>
  <c r="C35" i="10" s="1"/>
  <c r="D25" i="10"/>
  <c r="C37" i="10" s="1"/>
  <c r="C25" i="10"/>
  <c r="C24" i="10"/>
  <c r="D24" i="10" s="1"/>
  <c r="E24" i="10" s="1"/>
  <c r="C23" i="10"/>
  <c r="D23" i="10" s="1"/>
  <c r="E23" i="10" s="1"/>
  <c r="C22" i="10"/>
  <c r="D22" i="10" s="1"/>
  <c r="D18" i="10"/>
  <c r="C18" i="10"/>
  <c r="D17" i="10"/>
  <c r="D16" i="10"/>
  <c r="D15" i="10"/>
  <c r="C33" i="10" l="1"/>
  <c r="E22" i="10"/>
  <c r="C38" i="10"/>
  <c r="C39" i="10" s="1"/>
  <c r="C34" i="10"/>
</calcChain>
</file>

<file path=xl/sharedStrings.xml><?xml version="1.0" encoding="utf-8"?>
<sst xmlns="http://schemas.openxmlformats.org/spreadsheetml/2006/main" count="871" uniqueCount="759">
  <si>
    <t>INFORME TÉCNICO PARA DEPARTAMENTO DE VENTAS</t>
  </si>
  <si>
    <t>FACTORES DE PRESUPUESTACIÓN EN ESTRUCTURAS METÁLICAS</t>
  </si>
  <si>
    <t>Calibrado con AISC 303-22, AISC 360-22, AISC 341-22 y publicaciones técnicas AISC</t>
  </si>
  <si>
    <t>Mercado:</t>
  </si>
  <si>
    <t>México (anchos y largos comerciales de placa y perfil)</t>
  </si>
  <si>
    <t>Norma base:</t>
  </si>
  <si>
    <t>ANSI/AISC 303-22 §9.2 (peso facturable) + AISC 360-22 + AISC 341-22</t>
  </si>
  <si>
    <t>Aplicación:</t>
  </si>
  <si>
    <t>Cotización, presupuestación y validación de ofertas comerciales</t>
  </si>
  <si>
    <t>Versión:</t>
  </si>
  <si>
    <t>1.0 — Documento controlado</t>
  </si>
  <si>
    <t>ÍNDICE DE HOJAS</t>
  </si>
  <si>
    <t>1.</t>
  </si>
  <si>
    <t>Resumen Ejecutivo</t>
  </si>
  <si>
    <t>Factores recomendados consolidados — guía rápida de venta</t>
  </si>
  <si>
    <t>2.</t>
  </si>
  <si>
    <t>Desperdicio en Placas</t>
  </si>
  <si>
    <t>Scrap por nesting CNC sobre anchos y largos comerciales MX</t>
  </si>
  <si>
    <t>3.</t>
  </si>
  <si>
    <t>Desperdicio en Perfiles</t>
  </si>
  <si>
    <t>Scrap en IR/W y ángulos por largos comerciales</t>
  </si>
  <si>
    <t>4.</t>
  </si>
  <si>
    <t>Tornillería</t>
  </si>
  <si>
    <t>% de tornillos sobre peso de la estructura por tipología</t>
  </si>
  <si>
    <t>5.</t>
  </si>
  <si>
    <t>Soldadura</t>
  </si>
  <si>
    <t>% de soldadura por tipo de estructura y perfil armado</t>
  </si>
  <si>
    <t>6.</t>
  </si>
  <si>
    <t>Conexiones (PL conexión)</t>
  </si>
  <si>
    <t>% en peso de conexiones según tipo de montaje</t>
  </si>
  <si>
    <t>7.</t>
  </si>
  <si>
    <t>Factores por HH/ton</t>
  </si>
  <si>
    <t>Ajustes según complejidad: 24, 40, 60 y 90 HH/ton</t>
  </si>
  <si>
    <t>8.</t>
  </si>
  <si>
    <t>Ancho a Molino</t>
  </si>
  <si>
    <t>Ahorros cuando se solicita ancho especial al molino</t>
  </si>
  <si>
    <t>9.</t>
  </si>
  <si>
    <t>Calculadora de Presupuesto</t>
  </si>
  <si>
    <t>Hoja interactiva para aplicar todos los factores</t>
  </si>
  <si>
    <t>10.</t>
  </si>
  <si>
    <t>Notas y Criterios Técnicos</t>
  </si>
  <si>
    <t>Bases de cálculo, supuestos y advertencias</t>
  </si>
  <si>
    <t>11.</t>
  </si>
  <si>
    <t>Referencias AISC</t>
  </si>
  <si>
    <t>Normas, cláusulas y publicaciones AISC consultadas</t>
  </si>
  <si>
    <t>LEYENDA DE COLORES</t>
  </si>
  <si>
    <t>Azul (texto)</t>
  </si>
  <si>
    <t>Valores de entrada (inputs) — modificables por el usuario</t>
  </si>
  <si>
    <t>Negro (texto)</t>
  </si>
  <si>
    <t>Fórmulas y cálculos automáticos</t>
  </si>
  <si>
    <t>Amarillo</t>
  </si>
  <si>
    <t>Recomendación destacada — atención</t>
  </si>
  <si>
    <t>Verde</t>
  </si>
  <si>
    <t>Valor recomendado de uso</t>
  </si>
  <si>
    <t>Naranja</t>
  </si>
  <si>
    <t>Rango alto / no conservador — revisar</t>
  </si>
  <si>
    <t>AVISO IMPORTANTE PARA VENTAS</t>
  </si>
  <si>
    <t>Los porcentajes presentados son sobre PESO COBRABLE según AISC 303-22 §9.2 'Calculation of Weights' (peso teórico calculado con las dimensiones nominales del detallado, sin descuentos por cortes, biseles ni perforaciones — las tolerancias de laminación de ASTM A6 tampoco se descuentan). Se entregan rangos MÍNIMO – RECOMENDADO – MÁXIMO calibrados con publicaciones técnicas oficiales de AISC. El valor RECOMENDADO está calibrado para no ser excesivamente conservador (no encarece indebidamente la oferta) ni demasiado ajustado (no genera faltantes en obra). Para proyectos atípicos, geometrías complejas, sistemas sismorresistentes (AISC 341) o materiales especiales, consultar al departamento técnico antes de cotizar. Ver hoja 11 'Referencias AISC' para el listado completo de normas y publicaciones consultadas.</t>
  </si>
  <si>
    <t>RESUMEN EJECUTIVO — FACTORES RECOMENDADOS</t>
  </si>
  <si>
    <t>Todos los % son sobre peso cobrable AISC del componente</t>
  </si>
  <si>
    <t>TABLA MAESTRA DE FACTORES (% sobre peso cobrable)</t>
  </si>
  <si>
    <t>Concepto</t>
  </si>
  <si>
    <t>Mínimo</t>
  </si>
  <si>
    <t>Recomendado</t>
  </si>
  <si>
    <t>Máximo</t>
  </si>
  <si>
    <t>Comentario clave</t>
  </si>
  <si>
    <t>DESPERDICIO EN PLACAS — NESTING CNC</t>
  </si>
  <si>
    <t>Placas estándar MX (sin pedir ancho a molino)</t>
  </si>
  <si>
    <t>Anchos típicos: 1220, 1500, 1830, 2440 mm. Largos 6000–12000 mm</t>
  </si>
  <si>
    <t>Placas con ancho solicitado a molino</t>
  </si>
  <si>
    <t>Pedido mínimo molino ~20–25 ton; reduce scrap ~50%</t>
  </si>
  <si>
    <t>Placas con geometría compleja (curvas, biseles)</t>
  </si>
  <si>
    <t>Cartelas, gussets, refuerzos irregulares</t>
  </si>
  <si>
    <t>DESPERDICIO EN PERFILES IR / W</t>
  </si>
  <si>
    <t>Perfiles IR/W estándar (largos 12 m comercial MX)</t>
  </si>
  <si>
    <t>Optimización por aprovechamiento de retazos</t>
  </si>
  <si>
    <t>Perfiles IR/W cortos / variabilidad alta</t>
  </si>
  <si>
    <t>Muchas longitudes diferentes, claros menores a 6 m</t>
  </si>
  <si>
    <t>Perfiles IR/W con cortes a inglete / preparación</t>
  </si>
  <si>
    <t>Cerchas, vigas con peraltes variables</t>
  </si>
  <si>
    <t>DESPERDICIO EN ÁNGULOS / PTR / OR</t>
  </si>
  <si>
    <t>Ángulos estándar (largos 6 m comercial MX)</t>
  </si>
  <si>
    <t>Mayor desperdicio relativo por menor sección</t>
  </si>
  <si>
    <t>PTR / HSS rectangular y cuadrado</t>
  </si>
  <si>
    <t>Largos 6 m. Considerar perforaciones de tope</t>
  </si>
  <si>
    <t>TORNILLERÍA (sobre peso total estructura)</t>
  </si>
  <si>
    <t>Estructura ligera (claros &lt; 12 m)</t>
  </si>
  <si>
    <t>Edificios, naves pequeñas, racks</t>
  </si>
  <si>
    <t>Estructura mediana (claros 12–24 m, naves)</t>
  </si>
  <si>
    <t>Naves industriales típicas</t>
  </si>
  <si>
    <t>Estructura pesada (claros &gt; 24 m, industrial)</t>
  </si>
  <si>
    <t>Muchas conexiones grandes, A325/A490</t>
  </si>
  <si>
    <t>Estructura tipo torre / celosía atornillada</t>
  </si>
  <si>
    <t>Alto número de conexiones por nudo</t>
  </si>
  <si>
    <t>SOLDADURA (sobre peso total estructura)</t>
  </si>
  <si>
    <t>Estructura atornillada en obra (sold. solo en taller)</t>
  </si>
  <si>
    <t>Soldadura limitada a placas base, conexiones taller</t>
  </si>
  <si>
    <t>Estructura soldada en obra (sold. taller + obra)</t>
  </si>
  <si>
    <t>Mayor consumo, incluye electrodos, gas, fundente</t>
  </si>
  <si>
    <t>Perfiles armados de 3 placas (T, I asimétricas)</t>
  </si>
  <si>
    <t>Cordones longitudinales filete continuo</t>
  </si>
  <si>
    <t>Perfiles armados de 4 placas — sin penetración total</t>
  </si>
  <si>
    <t>Cajón soldado con filetes</t>
  </si>
  <si>
    <t>Perfiles armados de 4 placas — con penetración total</t>
  </si>
  <si>
    <t>Bisel, respaldo, múltiples pases — costo alto</t>
  </si>
  <si>
    <t>Celosías y armaduras tubulares</t>
  </si>
  <si>
    <t>Cortes de boca, muchos cordones cortos</t>
  </si>
  <si>
    <t>CONEXIONES (placas, atiesadores, cartelas)</t>
  </si>
  <si>
    <t>Estructura apernada en sitio</t>
  </si>
  <si>
    <t>Placas de conexión, atiesadores, splice plates</t>
  </si>
  <si>
    <t>Estructura soldada en sitio</t>
  </si>
  <si>
    <t>Menor cantidad de placas, conexiones directas</t>
  </si>
  <si>
    <t>Estructura mixta (apernada+soldada)</t>
  </si>
  <si>
    <t>Combina ambos sistemas</t>
  </si>
  <si>
    <t>RECOMENDACIÓN GENERAL PARA VENTAS</t>
  </si>
  <si>
    <t>Para una cotización balanceada, aplicar siempre la columna RECOMENDADO. Los rangos MÍN–MÁX se utilizan únicamente cuando el cliente exige nivel de detalle o se conoce el alcance final con planos definitivos. Para alcances en anteproyecto o ingeniería básica, escalar al MÁXIMO en los rubros de soldadura y conexiones, pues son los más sensibles a variación de diseño. La calculadora de la hoja 9 automatiza todo este proceso.
BASE NORMATIVA: Todos los porcentajes son sobre peso facturable según AISC 303-22 §9.2. Para sistemas sismorresistentes (AISC 341-22: SMF, IMF, BRBF, SCBF) usar siempre la columna MÁXIMO y agregar contingencia adicional 5–10%. Para conexiones bajo Opción 3 (diseño delegado al fabricante, AISC 303-22 §3.1.1) prever 'allowance' contractual según §1.1 del Code. Ver hoja 11 'Referencias AISC' para fundamentación completa.</t>
  </si>
  <si>
    <t>Anchos y largos comerciales en México — Cálculo sobre peso bruto</t>
  </si>
  <si>
    <t>ANCHOS Y LARGOS DE PLACA COMÚNMENTE CONSEGUIDOS EN MÉXICO (validado vs. AISC industry-standard widths 72"/96"/120")</t>
  </si>
  <si>
    <t>Ancho (mm)</t>
  </si>
  <si>
    <t>Ancho (pulg)</t>
  </si>
  <si>
    <t>Largo std (mm)</t>
  </si>
  <si>
    <t>Largo opc (mm)</t>
  </si>
  <si>
    <t>Disponibilidad</t>
  </si>
  <si>
    <t>Origen típico</t>
  </si>
  <si>
    <t>Observaciones</t>
  </si>
  <si>
    <t>48"</t>
  </si>
  <si>
    <t>Alta</t>
  </si>
  <si>
    <t>AHMSA / Imp</t>
  </si>
  <si>
    <t>Lámina comercial estándar</t>
  </si>
  <si>
    <t>~60"</t>
  </si>
  <si>
    <t>AHMSA / Ternium</t>
  </si>
  <si>
    <t>Muy usada en estructuras</t>
  </si>
  <si>
    <t>72"</t>
  </si>
  <si>
    <t>Estándar para vigas armadas</t>
  </si>
  <si>
    <t>~78"</t>
  </si>
  <si>
    <t>Media</t>
  </si>
  <si>
    <t>Ternium / Imp</t>
  </si>
  <si>
    <t>Ideal para almas altas</t>
  </si>
  <si>
    <t>96"</t>
  </si>
  <si>
    <t>Media-alta</t>
  </si>
  <si>
    <t>Placa pesada estructural</t>
  </si>
  <si>
    <t>~118"</t>
  </si>
  <si>
    <t>Bajo pedido</t>
  </si>
  <si>
    <t>Importada / molino</t>
  </si>
  <si>
    <t>Requiere pedido especial</t>
  </si>
  <si>
    <t>~126"</t>
  </si>
  <si>
    <t>Pedido mínimo molino</t>
  </si>
  <si>
    <t>FACTORES DE DESPERDICIO POR TIPO DE CORTE Y APROVECHAMIENTO</t>
  </si>
  <si>
    <t>Tipo de elemento</t>
  </si>
  <si>
    <t>Geometría</t>
  </si>
  <si>
    <t>Mín %</t>
  </si>
  <si>
    <t>Recom %</t>
  </si>
  <si>
    <t>Máx %</t>
  </si>
  <si>
    <t>Confianza</t>
  </si>
  <si>
    <t>Notas para venta</t>
  </si>
  <si>
    <t>■ ELEMENTOS REGULARES (rectangulares / trapezoidales simples)</t>
  </si>
  <si>
    <t>Almas y patines de vigas armadas</t>
  </si>
  <si>
    <t>Rectangular largo</t>
  </si>
  <si>
    <t>Placas base columna</t>
  </si>
  <si>
    <t>Rectangular pequeño-medio</t>
  </si>
  <si>
    <t>Atiesadores transversales</t>
  </si>
  <si>
    <t>Rectangular pequeño</t>
  </si>
  <si>
    <t>Splice plates / placas de conexión</t>
  </si>
  <si>
    <t>Rectangular medio</t>
  </si>
  <si>
    <t>■ ELEMENTOS IRREGULARES (cartelas, gussets, geometrías curvas)</t>
  </si>
  <si>
    <t>Cartelas / gussets pequeños</t>
  </si>
  <si>
    <t>Triangular / pentagonal</t>
  </si>
  <si>
    <t>Cartelas grandes (cerchas)</t>
  </si>
  <si>
    <t>Polígono irregular</t>
  </si>
  <si>
    <t>Refuerzos curvos (transición)</t>
  </si>
  <si>
    <t>Curvas / biseles</t>
  </si>
  <si>
    <t>Casquetes / tapas tanque</t>
  </si>
  <si>
    <t>Circular / sectorial</t>
  </si>
  <si>
    <t>Patrones repetitivos (nesting óptimo)</t>
  </si>
  <si>
    <t>Mixto repetido</t>
  </si>
  <si>
    <t>DESPERDICIO PROMEDIO PONDERADO POR TIPO DE OBRA</t>
  </si>
  <si>
    <t>Tipo de obra</t>
  </si>
  <si>
    <t>% Vigas armadas</t>
  </si>
  <si>
    <t>% PL conexión</t>
  </si>
  <si>
    <t>% Cartelas</t>
  </si>
  <si>
    <t>Edificio comercial / oficinas</t>
  </si>
  <si>
    <t>Nave industrial estándar</t>
  </si>
  <si>
    <t>Nave industrial pesada</t>
  </si>
  <si>
    <t>Estructura de proceso (pipe rack)</t>
  </si>
  <si>
    <t>Cerchas largas / armaduras tubulares</t>
  </si>
  <si>
    <t>Tanques y silos</t>
  </si>
  <si>
    <t>NOTAS TÉCNICAS — PLACAS</t>
  </si>
  <si>
    <t>• El % de desperdicio se calcula sobre el peso BRUTO de placa adquirida vs. peso neto facturable según AISC 303-22 §9.2.</t>
  </si>
  <si>
    <t>• El nesting CNC moderno (con software como SigmaNEST, ProNest) optimiza típicamente al 80–88% de aprovechamiento.</t>
  </si>
  <si>
    <t>• Para placas de espesor mayor a 50 mm, considerar +2–3% adicional por cortes con plasma fino o waterjet.</t>
  </si>
  <si>
    <t>• Cuando se entreguen planos con biseles preparados desde diseño, considerar +1.5% por consumo de calor en bisel.</t>
  </si>
  <si>
    <t>• El kerf (ancho de corte) representa típicamente 0.5–1.0% del material, ya está incluido en los rangos mostrados.</t>
  </si>
  <si>
    <t>• Los retazos mayores a 300×300 mm con espesores ≥6 mm se consideran reutilizables y no contabilizan como scrap.</t>
  </si>
  <si>
    <t>• REFERENCIA AISC: 'Modern Steel Construction' octubre 2023 — los anchos industria-estándar (72"/96"/120") coinciden con la oferta MX (1830/2440/3050 mm). Anchos fuera de éstos requieren 'special heat sequence' del molino.</t>
  </si>
  <si>
    <t>• REFERENCIA AISC NSBA G12.1-2020 §1.5: los pedidos a molino con cantidades mayores reducen costo unitario; el molino requiere mínimos por colada (heat) para producir anchos no-estándar.</t>
  </si>
  <si>
    <t>DESPERDICIO EN PERFILES IR/W Y ÁNGULOS</t>
  </si>
  <si>
    <t>Largos comerciales en México y factores de aprovechamiento</t>
  </si>
  <si>
    <t>LARGOS COMERCIALES EN MÉXICO — PERFILES ESTRUCTURALES</t>
  </si>
  <si>
    <t>Tipo perfil</t>
  </si>
  <si>
    <t>Norma</t>
  </si>
  <si>
    <t>Largo std (m)</t>
  </si>
  <si>
    <t>Largo máx (m)</t>
  </si>
  <si>
    <t>Origen</t>
  </si>
  <si>
    <t>IR / W (vigas y columnas)</t>
  </si>
  <si>
    <t>ASTM A992</t>
  </si>
  <si>
    <t>Ternium / GerdauC / Imp</t>
  </si>
  <si>
    <t>12 m std; 15 m bajo pedido; 18 m molino</t>
  </si>
  <si>
    <t>HSS / PTR cuadrado</t>
  </si>
  <si>
    <t>ASTM A500/A1085</t>
  </si>
  <si>
    <t>Ternium / Hylsa</t>
  </si>
  <si>
    <t>6 m std; 12 m en pedidos grandes</t>
  </si>
  <si>
    <t>HSS / PTR rectangular</t>
  </si>
  <si>
    <t>Igual que HSS cuadrado</t>
  </si>
  <si>
    <t>Ángulos LI / LD</t>
  </si>
  <si>
    <t>ASTM A36/A572</t>
  </si>
  <si>
    <t>Ternium / GerdauC</t>
  </si>
  <si>
    <t>6 m std; 9–12 m bajo pedido</t>
  </si>
  <si>
    <t>Canales C / CE / MC</t>
  </si>
  <si>
    <t>6 m std nacional</t>
  </si>
  <si>
    <t>Tubo redondo (HSS round)</t>
  </si>
  <si>
    <t>ASTM A500</t>
  </si>
  <si>
    <t>Imp / Hylsa</t>
  </si>
  <si>
    <t>Disponibilidad media</t>
  </si>
  <si>
    <t>Solera (PTR plano)</t>
  </si>
  <si>
    <t>ASTM A36</t>
  </si>
  <si>
    <t>Nacional</t>
  </si>
  <si>
    <t>Solo 6 m comercial</t>
  </si>
  <si>
    <t>FACTORES DE DESPERDICIO POR TIPO DE PERFIL Y APLICACIÓN</t>
  </si>
  <si>
    <t>Aplicación / tipo de elemento</t>
  </si>
  <si>
    <t>Perfil</t>
  </si>
  <si>
    <t>Largo típico</t>
  </si>
  <si>
    <t>Comentarios</t>
  </si>
  <si>
    <t>Vigas / columnas con claros uniformes</t>
  </si>
  <si>
    <t>IR/W</t>
  </si>
  <si>
    <t>10–12 m</t>
  </si>
  <si>
    <t>Aprovechamiento óptimo, pocos cortes</t>
  </si>
  <si>
    <t>Vigas con peraltes y largos variables</t>
  </si>
  <si>
    <t>Variable</t>
  </si>
  <si>
    <t>Edificios con geometría irregular</t>
  </si>
  <si>
    <t>Columnas de doble altura / mezzanines</t>
  </si>
  <si>
    <t>8–12 m</t>
  </si>
  <si>
    <t>Cortes de empalme, cabeceros</t>
  </si>
  <si>
    <t>Largueros / polines</t>
  </si>
  <si>
    <t>Mc / Z / IR ligero</t>
  </si>
  <si>
    <t>6–9 m</t>
  </si>
  <si>
    <t>Cortes de tope, conexiones simples</t>
  </si>
  <si>
    <t>Cerchas de cuerda continua (top/bottom chord)</t>
  </si>
  <si>
    <t>12 m+</t>
  </si>
  <si>
    <t>Empalmes en sitio si &gt; 12 m</t>
  </si>
  <si>
    <t>Diagonales y montantes de cercha</t>
  </si>
  <si>
    <t>Ángulo / HSS</t>
  </si>
  <si>
    <t>6 m</t>
  </si>
  <si>
    <t>Muchos cortes pequeños</t>
  </si>
  <si>
    <t>Estructura tipo pipe rack</t>
  </si>
  <si>
    <t>IR/W + ángulo</t>
  </si>
  <si>
    <t>6–12 m</t>
  </si>
  <si>
    <t>Mezcla de elementos</t>
  </si>
  <si>
    <t>Estructura de torres celosía</t>
  </si>
  <si>
    <t>Alta variabilidad de longitudes</t>
  </si>
  <si>
    <t>Plataformas / escaleras / pasamanos</t>
  </si>
  <si>
    <t>Ángulo / HSS / canal</t>
  </si>
  <si>
    <t>Cortes muy variados, ingletes</t>
  </si>
  <si>
    <t>Marcos arriostrados (bracing)</t>
  </si>
  <si>
    <t>HSS / ángulo</t>
  </si>
  <si>
    <t>Cortes a inglete, biseles</t>
  </si>
  <si>
    <t>OPTIMIZACIÓN POR PEDIDO ESPECIAL DE LARGOS A MOLINO</t>
  </si>
  <si>
    <t>Si el proyecto justifica un pedido mínimo a molino (≥ 25–40 ton del mismo perfil), se pueden solicitar largos exactos (multi-length cutting) reduciendo el desperdicio típicamente entre 40–60%. Aplicable a perfiles IR/W principalmente. Tiempo de entrega de molino: 8–14 semanas (Ternium/Gerdau MX), 12–20 semanas (importado).</t>
  </si>
  <si>
    <t>Escenario</t>
  </si>
  <si>
    <t>Pedido mínimo (ton)</t>
  </si>
  <si>
    <t>Tiempo entrega</t>
  </si>
  <si>
    <t>Ahorro vs std</t>
  </si>
  <si>
    <t>Largo std (sin pedir a molino)</t>
  </si>
  <si>
    <t>Stock</t>
  </si>
  <si>
    <t>Inmediato</t>
  </si>
  <si>
    <t>Pedido molino — largos múltiples</t>
  </si>
  <si>
    <t>25 ton</t>
  </si>
  <si>
    <t>8–14 sem</t>
  </si>
  <si>
    <t>Pedido molino — largo exacto</t>
  </si>
  <si>
    <t>40 ton</t>
  </si>
  <si>
    <t>10–16 sem</t>
  </si>
  <si>
    <t>TORNILLERÍA — % SOBRE PESO DE ESTRUCTURA</t>
  </si>
  <si>
    <t>Estructuras atornilladas — Norma ASTM F3125 (A325/A490)</t>
  </si>
  <si>
    <t>FACTORES DE TORNILLERÍA POR TIPOLOGÍA DE ESTRUCTURA</t>
  </si>
  <si>
    <t>Tipo de estructura</t>
  </si>
  <si>
    <t>Grado típico</t>
  </si>
  <si>
    <t>Estructura ligera atornillada (galpones, racks, edif. &lt; 3 niveles)</t>
  </si>
  <si>
    <t>A325 / A307</t>
  </si>
  <si>
    <t>Conexiones simples, pocos tornillos por nudo</t>
  </si>
  <si>
    <t>Estructura mediana (naves industriales, edif. 3–6 niveles)</t>
  </si>
  <si>
    <t>A325</t>
  </si>
  <si>
    <t>Conexiones a momento limitadas, mayoría de cortante</t>
  </si>
  <si>
    <t>Estructura pesada (edif. &gt; 6 niveles, industrial pesada)</t>
  </si>
  <si>
    <t>A325 / A490</t>
  </si>
  <si>
    <t>Empalmes de columna, conexiones a momento</t>
  </si>
  <si>
    <t>Estructura industrial de proceso (refinerías, plantas)</t>
  </si>
  <si>
    <t>Alto número de conexiones, pernos de anclaje</t>
  </si>
  <si>
    <t>Torres de transmisión / autosoportadas</t>
  </si>
  <si>
    <t>A394 / A325</t>
  </si>
  <si>
    <t>Celosía con muchos nudos pequeños</t>
  </si>
  <si>
    <t>Torres de telecomunicación (celosía)</t>
  </si>
  <si>
    <t>Conexiones múltiples por panel</t>
  </si>
  <si>
    <t>Pipe-rack atornillado</t>
  </si>
  <si>
    <t>Estándar industrial</t>
  </si>
  <si>
    <t>Estructura sismorresistente (SMF / SCBF)</t>
  </si>
  <si>
    <t>A490</t>
  </si>
  <si>
    <t>Conexiones precalificadas, pernos de alta resistencia</t>
  </si>
  <si>
    <t>Pernos de anclaje (incluidos aparte)</t>
  </si>
  <si>
    <t>F1554 Gr 36/55/105</t>
  </si>
  <si>
    <t>Calcular separado, no en peso de estructura</t>
  </si>
  <si>
    <t>RECOMENDACIÓN PRÁCTICA PARA VENTAS</t>
  </si>
  <si>
    <t>REGLA RÁPIDA: Para 90% de los proyectos atornillados convencionales, usar 2.5% sobre peso de estructura. Para celosías / torres aumentar a 5–6%. Considerar aparte tuercas, arandelas planas y de presión (ya incluidas en los porcentajes anteriores). Los pernos de anclaje (F1554) se calculan por separado y no se mezclan con tornillos estructurales pues su alcance contractual suele ser distinto.
REFERENCIA AISC: Según AISC 303-22 §2.1, la tornillería que CUENTA como acero estructural (peso facturable) son: shop bolts, nuts y washers permanentes; field bolts, nuts y washers para conexiones permanentes; y pasadores permanentes. Los pernos de anclaje (anchor rods F1554) están listados en §2.1 pero comercialmente se manejan como partida separada. Los pernos para sistemas sísmicos siguen RCSC Specification 2020 y ASTM F3125 (consolida A325/A490/F1852/F2280).</t>
  </si>
  <si>
    <t>SOLDADURA — % SOBRE PESO DE ESTRUCTURA</t>
  </si>
  <si>
    <t>Por tipo de estructura, perfil armado y condición de montaje</t>
  </si>
  <si>
    <t>1. SOLDADURA POR TIPO DE ESTRUCTURA Y MONTAJE</t>
  </si>
  <si>
    <t>Proceso típico</t>
  </si>
  <si>
    <t>Estructura ATORNILLADA en obra (sold. solo en taller)</t>
  </si>
  <si>
    <t>FCAW / SMAW</t>
  </si>
  <si>
    <t>Soldadura limitada a placas base, atiesadores, refuerzos</t>
  </si>
  <si>
    <t>Estructura SOLDADA en obra (taller + obra)</t>
  </si>
  <si>
    <t>Incluye consumibles taller y obra, menos eficiente en obra</t>
  </si>
  <si>
    <t>Estructura mixta soldada/atornillada</t>
  </si>
  <si>
    <t>Combinación según diseño</t>
  </si>
  <si>
    <t>Estructura monolítica completamente soldada (offshore, blast)</t>
  </si>
  <si>
    <t>SAW / FCAW / GTAW</t>
  </si>
  <si>
    <t>Múltiples pases, juntas críticas</t>
  </si>
  <si>
    <t>2. SOLDADURA EN PERFILES ARMADOS (BUILT-UP)</t>
  </si>
  <si>
    <t>Tipo de perfil armado</t>
  </si>
  <si>
    <t>Tipo junta</t>
  </si>
  <si>
    <t>Perfil T armado (2 placas — alma + patín)</t>
  </si>
  <si>
    <t>Filete continuo</t>
  </si>
  <si>
    <t>1 cordón continuo por lado de alma</t>
  </si>
  <si>
    <t>Perfil I/H armado de 3 placas (1 alma + 2 patines)</t>
  </si>
  <si>
    <t>4 cordones longitudinales con automática (SAW)</t>
  </si>
  <si>
    <t>Perfil I/H armado 3 placas — peraltes muy altos (&gt;1500 mm)</t>
  </si>
  <si>
    <t>Mayor cantidad de pases, atiesadores frecuentes</t>
  </si>
  <si>
    <t>Perfil cajón 4 placas — SIN penetración total (PJP)</t>
  </si>
  <si>
    <t>Filete + PJP</t>
  </si>
  <si>
    <t>4 cordones, sin bisel completo</t>
  </si>
  <si>
    <t>Perfil cajón 4 placas — CON penetración total (CJP)</t>
  </si>
  <si>
    <t>CJP / Bisel completo</t>
  </si>
  <si>
    <t>Bisel ambos lados, respaldo, múltiples pases, MUY costoso</t>
  </si>
  <si>
    <t>Perfil cajón con diafragmas internos</t>
  </si>
  <si>
    <t>CJP / electroescoria</t>
  </si>
  <si>
    <t>Diafragmas con electroescoria o ventanas de inspección</t>
  </si>
  <si>
    <t>Perfil castellated / alveolar (corte y soldado)</t>
  </si>
  <si>
    <t>Cordones intermitentes en aperturas</t>
  </si>
  <si>
    <t>Perfil tubular armado (HSS soldado de placas)</t>
  </si>
  <si>
    <t>4 cordones de cierre</t>
  </si>
  <si>
    <t>3. SOLDADURA EN CELOSÍAS Y ARMADURAS</t>
  </si>
  <si>
    <t>Tipo de celosía</t>
  </si>
  <si>
    <t>Tipo unión</t>
  </si>
  <si>
    <t>Celosía con perfiles ángulos (atornillada)</t>
  </si>
  <si>
    <t>Filete corto</t>
  </si>
  <si>
    <t>Solo en armado taller, mínima soldadura</t>
  </si>
  <si>
    <t>Celosía con perfiles ángulos (soldada)</t>
  </si>
  <si>
    <t>Cordones cortos múltiples</t>
  </si>
  <si>
    <t>Celosía tubular HSS — uniones directas (gap/overlap K, T, Y)</t>
  </si>
  <si>
    <t>Filete contorno</t>
  </si>
  <si>
    <t>Uniones AISC 360 Cap K — cortes de boca complejos</t>
  </si>
  <si>
    <t>Celosía tubular HSS con cartelas</t>
  </si>
  <si>
    <t>Más simple de fabricar pero más placas</t>
  </si>
  <si>
    <t>Cerchas planas tipo Pratt/Warren con cartelas</t>
  </si>
  <si>
    <t>Cerchas espaciales (3D) tubulares</t>
  </si>
  <si>
    <t>Cortes 3D, uniones complejas en nudos</t>
  </si>
  <si>
    <t>Torres de celosía soldadas</t>
  </si>
  <si>
    <t>Multiplicidad de nudos pequeños</t>
  </si>
  <si>
    <t>NOTAS TÉCNICAS — SOLDADURA</t>
  </si>
  <si>
    <t>• El % de soldadura incluye consumibles depositados (electrodos, alambre tubular, fundente) NO eficiencia.</t>
  </si>
  <si>
    <t>• Eficiencia típica del consumible: SMAW 65%, FCAW 80%, SAW 95%, GMAW 90%. Pedir consumibles en relación al peso depositado / eficiencia.</t>
  </si>
  <si>
    <t>• Para soldadura CJP en perfiles cajón, el costo en HH es 4–6 veces mayor que filete equivalente.</t>
  </si>
  <si>
    <t>• Soldaduras sometidas a inspección UT/RT al 100% incrementan tiempo (no peso) — considerar en HH/ton.</t>
  </si>
  <si>
    <t>• Para procesos automáticos (SAW), considerar -10% en consumo de alambre vs. semiautomático FCAW.</t>
  </si>
  <si>
    <t>• En estructuras inox (304/316) o aluminio, los porcentajes pueden incrementarse 30–40% por menor velocidad de deposición.</t>
  </si>
  <si>
    <t>• REFERENCIA AISC: AWS D1.1/D1.1M:2020 'Structural Welding Code — Steel' rige los procesos, calificación de soldadores y procedimientos. Para sistemas sísmicos aplica AWS D1.8/D1.8M:2021 (Seismic Supplement) — incrementa requisitos de tenacidad y NDT.</t>
  </si>
  <si>
    <t>• REFERENCIA AISC 360-22 Tabla J2.5 (filete y CJP): el espesor mínimo de garganta efectiva y los tipos de junta están normados. Para CJP con metal de aporte de igual o mayor resistencia que el metal base, la resistencia la gobierna el metal base — no se inspeccionan electrodos individualmente.</t>
  </si>
  <si>
    <t>• REFERENCIA AISC 303-22 §6.3 'Fitting and Fastening': las conexiones de taller pueden ser apernadas o soldadas a discreción del fabricante salvo indicación contraria del SER (Structural Engineer of Record). Esto afecta directamente al % de soldadura del taller.</t>
  </si>
  <si>
    <t>CONEXIONES — % EN PESO DE PLACAS / ATIESADORES</t>
  </si>
  <si>
    <t>Peso de elementos de conexión sobre peso total de la estructura</t>
  </si>
  <si>
    <t>% DE PESO EN CONEXIONES POR TIPO DE MONTAJE</t>
  </si>
  <si>
    <t>Tipo de estructura / montaje</t>
  </si>
  <si>
    <t>Tipo conexión</t>
  </si>
  <si>
    <t>Estructura APERNADA en sitio (todo bolted)</t>
  </si>
  <si>
    <t>Bolted</t>
  </si>
  <si>
    <t>Cada conexión requiere placas (shear tabs, end plates, splice plates)</t>
  </si>
  <si>
    <t>Estructura APERNADA con momentos (rígida)</t>
  </si>
  <si>
    <t>Bolted moment</t>
  </si>
  <si>
    <t>Placas de extremo gruesas, atiesadores, costillas</t>
  </si>
  <si>
    <t>Estructura SOLDADA en sitio</t>
  </si>
  <si>
    <t>Welded directo</t>
  </si>
  <si>
    <t>Conexiones soldadas reducen placas pero requieren preparación</t>
  </si>
  <si>
    <t>Estructura SOLDADA con cartelas en sitio</t>
  </si>
  <si>
    <t>Welded c/cartelas</t>
  </si>
  <si>
    <t>Cartelas de transferencia en uniones tipo K, T, Y</t>
  </si>
  <si>
    <t>Estructura MIXTA (soldada en taller + atornillada en obra)</t>
  </si>
  <si>
    <t>Mixto</t>
  </si>
  <si>
    <t>Caso más común — viga atornillada a columna soldada</t>
  </si>
  <si>
    <t>Cerchas con cartelas (truss)</t>
  </si>
  <si>
    <t>Bolted/Welded</t>
  </si>
  <si>
    <t>Cartelas de nudo, splice de cuerdas — alto % en peso</t>
  </si>
  <si>
    <t>Marcos arriostrados (BRBF/SCBF)</t>
  </si>
  <si>
    <t>Cartelas grandes para arriostres, gussets diagonales</t>
  </si>
  <si>
    <t>Estructura sismorresistente (SMF precalif.)</t>
  </si>
  <si>
    <t>Atiesadores de continuidad, doble web plate, RBS</t>
  </si>
  <si>
    <t>Pórticos rígidos atornillados (haunched)</t>
  </si>
  <si>
    <t>Cartelas (haunch) de momento — geometría grande</t>
  </si>
  <si>
    <t>Torres celosía atornilladas</t>
  </si>
  <si>
    <t>Cartelas pequeñas pero numerosas</t>
  </si>
  <si>
    <t>COMPARATIVO: APERNADA vs SOLDADA EN SITIO</t>
  </si>
  <si>
    <t>Apernada en sitio</t>
  </si>
  <si>
    <t>Soldada en sitio</t>
  </si>
  <si>
    <t>Diferencia</t>
  </si>
  <si>
    <t>Recomendación</t>
  </si>
  <si>
    <t>Notas</t>
  </si>
  <si>
    <t>% Conexiones (peso placas)</t>
  </si>
  <si>
    <t>Apernada usa más placas</t>
  </si>
  <si>
    <t>Apernada requiere placas extra; soldada va directo</t>
  </si>
  <si>
    <t>% Tornillería sobre estructura</t>
  </si>
  <si>
    <t>Apernada significativa</t>
  </si>
  <si>
    <t>Soldada solo tiene tornillos en placas base</t>
  </si>
  <si>
    <t>% Soldadura sobre estructura</t>
  </si>
  <si>
    <t>Soldada el doble</t>
  </si>
  <si>
    <t>Apernada solo sold. taller; soldada incluye obra</t>
  </si>
  <si>
    <t>Total % adicional (conex+torn+sold)</t>
  </si>
  <si>
    <t>Apernada +5.5%</t>
  </si>
  <si>
    <t>El bolted típicamente sale 5–7% más pesado</t>
  </si>
  <si>
    <t>REFERENCIAS AISC APLICABLES A CONEXIONES</t>
  </si>
  <si>
    <t>• AISC 303-22 §3.1.1 — Opciones de diseño de conexiones: Opción 1 (SER diseña), Opción 2 (selección con tablas del Manual), Opción 3 (delegación al fabricante). La Opción 3 implica MAYOR INCERTIDUMBRE en presupuesto.</t>
  </si>
  <si>
    <t>• AISC 303-22 §1.1 + §9.1.5 — Cuando existen 'allowances' (placeholder monetario para alcance no definido), debe documentarse en contrato y permitir reconciliación posterior por orden de cambio (§9.4).</t>
  </si>
  <si>
    <t>• AISC 360-22 Capítulo J — Define la geometría y resistencia mínima de conexiones (placas, atiesadores, gages, distancias mínimas al borde). Sustenta los espesores típicos asumidos en este informe.</t>
  </si>
  <si>
    <t>• AISC 341-22 — Sistemas sísmicos (SMF/IMF/BRBF/SCBF/EBF) requieren placas de continuidad, doble web plate, atiesadores adicionales y RBS (Reduced Beam Section). Esto incrementa el % de conexiones 30–50% sobre el caso no-sísmico.</t>
  </si>
  <si>
    <t>• AISC 358 — Conexiones precalificadas: cada tipología precalificada (RBS, BFP, ESBP, SidePlate, etc.) tiene geometría estandarizada que se puede dimensionar en presupuesto preliminar.</t>
  </si>
  <si>
    <t>• RCSC Specification 2020 — Especifica instalación, pretensado y verificación de tornillos de alta resistencia. Aplica ASTM F3125 (consolida A325/A490/F1852/F2280).</t>
  </si>
  <si>
    <t>• AISC 303-22 §2.1 — Las cartelas, gussets, placas de conexión, atiesadores, splice plates, leveling plates SÍ se cobran como acero estructural. Las escaleras, rejillas y cold-formed (§2.2) NO.</t>
  </si>
  <si>
    <t>FACTORES POR COMPLEJIDAD: HH/TON</t>
  </si>
  <si>
    <t>Ajuste de factores de presupuesto según horas-hombre por tonelada de fabricación</t>
  </si>
  <si>
    <t>RELACIÓN ENTRE HH/TON Y COMPLEJIDAD ESTRUCTURAL</t>
  </si>
  <si>
    <t>El indicador HH/ton es un termómetro de la complejidad de fabricación. A mayor HH/ton, más cortes, más detalles, más conexiones y por ende mayor desperdicio de material y mayor consumo de soldadura/tornillería. Esta hoja correlaciona los factores de presupuesto con los rangos típicos de HH/ton en taller mexicano para fabricación de estructura metálica (considera taller con CNC, plasma/oxicorte, prensas y línea de armado/soldado).</t>
  </si>
  <si>
    <t>FACTORES RECOMENDADOS POR RANGO DE HH/TON</t>
  </si>
  <si>
    <t>Concepto (% sobre peso AISC)</t>
  </si>
  <si>
    <t>24 HH/ton</t>
  </si>
  <si>
    <t>40 HH/ton</t>
  </si>
  <si>
    <t>60 HH/ton</t>
  </si>
  <si>
    <t>90 HH/ton</t>
  </si>
  <si>
    <t>Comentario</t>
  </si>
  <si>
    <t>Tipología típica:</t>
  </si>
  <si>
    <t>Tipología típica</t>
  </si>
  <si>
    <t>Naves simples, pre-eng, racks</t>
  </si>
  <si>
    <t>Edif. comercial, naves estándar</t>
  </si>
  <si>
    <t>Industrial pesado, SMF</t>
  </si>
  <si>
    <t>Refinería, offshore, sísmico</t>
  </si>
  <si>
    <t>—</t>
  </si>
  <si>
    <t>Desperdicio placas</t>
  </si>
  <si>
    <t>A mayor complejidad, más cartelas y geometrías irregulares</t>
  </si>
  <si>
    <t>Desperdicio perfiles IR/W</t>
  </si>
  <si>
    <t>Más cortes a inglete y empalmes</t>
  </si>
  <si>
    <t>Desperdicio ángulos / HSS</t>
  </si>
  <si>
    <t>Cortes pequeños, alta variabilidad</t>
  </si>
  <si>
    <t>Tornillería (atornillada)</t>
  </si>
  <si>
    <t>Más conexiones y mayores grados de pernos</t>
  </si>
  <si>
    <t>Soldadura (atornillada en obra)</t>
  </si>
  <si>
    <t>Más atiesadores y refuerzos en taller</t>
  </si>
  <si>
    <t>Soldadura (soldada en obra)</t>
  </si>
  <si>
    <t>Más cordones y juntas críticas</t>
  </si>
  <si>
    <t>Soldadura perfiles armados 3 PL</t>
  </si>
  <si>
    <t>Cordones longitudinales constantes</t>
  </si>
  <si>
    <t>Soldadura perfiles 4 PL sin CJP</t>
  </si>
  <si>
    <t>Cajón con filetes</t>
  </si>
  <si>
    <t>Soldadura perfiles 4 PL con CJP</t>
  </si>
  <si>
    <t>Bisel completo, múltiples pases</t>
  </si>
  <si>
    <t>Soldadura celosías tubulares</t>
  </si>
  <si>
    <t>Uniones K, T, Y con cortes 3D</t>
  </si>
  <si>
    <t>Conexiones (apernada)</t>
  </si>
  <si>
    <t>Más placas, atiesadores y splice</t>
  </si>
  <si>
    <t>Conexiones (soldada)</t>
  </si>
  <si>
    <t>Cartelas y refuerzos crecientes</t>
  </si>
  <si>
    <t>GUÍA DE USO POR DEPARTAMENTO COMERCIAL</t>
  </si>
  <si>
    <t>Rango HH/ton</t>
  </si>
  <si>
    <t>Descripción</t>
  </si>
  <si>
    <t>Tipologías típicas</t>
  </si>
  <si>
    <t>Recomendación de venta</t>
  </si>
  <si>
    <t>Estructura simple, repetitiva, automatizable</t>
  </si>
  <si>
    <t>Naves pre-ingeniería, racks, mezzanines simples</t>
  </si>
  <si>
    <t>Aplicar mín–rec; cliente sensible al precio</t>
  </si>
  <si>
    <t>Estándar industrial mexicano</t>
  </si>
  <si>
    <t>Edificios, naves industriales, plataformas</t>
  </si>
  <si>
    <t>VALOR DE REFERENCIA — usar columna recomendada</t>
  </si>
  <si>
    <t>Estructura compleja con detalles</t>
  </si>
  <si>
    <t>Sismorresistente, pipe-rack, edif. &gt;10 niveles</t>
  </si>
  <si>
    <t>Aplicar rec–máx; revisar ingeniería de detalle</t>
  </si>
  <si>
    <t>Alta complejidad, requisitos especiales</t>
  </si>
  <si>
    <t>Offshore, refinería, monumentos, bridge-crane</t>
  </si>
  <si>
    <t>Aplicar máx; agregar contingencia 5–10%</t>
  </si>
  <si>
    <t>PEDIDO DE ANCHO ESPECIAL A MOLINO</t>
  </si>
  <si>
    <t>Optimización del aprovechamiento solicitando ancho exacto al fabricante</t>
  </si>
  <si>
    <t>CONDICIONES PARA SOLICITAR ANCHO A MOLINO</t>
  </si>
  <si>
    <t>El pedido de ancho especial al molino (typical order width / TOW) es la palanca más fuerte para reducir el desperdicio en placa cuando el alma o patín dominante de un perfil armado tiene un ancho repetitivo (ej. almas de 1480 mm en muchos perfiles I).
REQUISITOS TÍPICOS PARA AHMSA / TERNIUM / GERDAU CORSA:
  • Pedido mínimo: 25–40 toneladas por ancho/espesor combinado
  • Tiempo de entrega: 8–14 semanas (vs. inmediato en stock)
  • Tolerancia de ancho: ±5 mm (similar al estándar)
  • Aplica para placas estructurales A36, A572 Gr.50, A588 (Corten)
AHORRO TÍPICO: el desperdicio de placa baja de 12% (recom. estándar) a 4–6%, es decir un ahorro neto del 6–8% sobre peso de placa.</t>
  </si>
  <si>
    <t>TABLA COMPARATIVA — STOCK vs MOLINO</t>
  </si>
  <si>
    <t>% Desperdicio</t>
  </si>
  <si>
    <t>Pedido mín (ton)</t>
  </si>
  <si>
    <t>Entrega (sem)</t>
  </si>
  <si>
    <t>Ahorro material</t>
  </si>
  <si>
    <t>Aplicabilidad</t>
  </si>
  <si>
    <t>Placa de stock — sin pedido especial</t>
  </si>
  <si>
    <t>Cualquier proyecto</t>
  </si>
  <si>
    <t>Pedido a molino — ancho estándar</t>
  </si>
  <si>
    <t>20</t>
  </si>
  <si>
    <t>8–10</t>
  </si>
  <si>
    <t>Proyectos &gt; 100 ton mismo espesor</t>
  </si>
  <si>
    <t>Pedido a molino — ancho específico (TOW)</t>
  </si>
  <si>
    <t>25</t>
  </si>
  <si>
    <t>10–14</t>
  </si>
  <si>
    <t>Proyectos &gt; 200 ton con ancho dominante</t>
  </si>
  <si>
    <t>Pedido a molino — multi-ancho optimizado</t>
  </si>
  <si>
    <t>40</t>
  </si>
  <si>
    <t>12–16</t>
  </si>
  <si>
    <t>Proyectos &gt; 500 ton, ingeniería congelada</t>
  </si>
  <si>
    <t>Pedido a molino — multi-ancho + multi-largo</t>
  </si>
  <si>
    <t>60</t>
  </si>
  <si>
    <t>14–18</t>
  </si>
  <si>
    <t>Mega-proyectos &gt; 1000 ton</t>
  </si>
  <si>
    <t>CRITERIOS DE DECISIÓN — ¿CUÁNDO PEDIR A MOLINO?</t>
  </si>
  <si>
    <t>Criterio</t>
  </si>
  <si>
    <t>Stock (≤ 25 ton)</t>
  </si>
  <si>
    <t>Molino estándar (25–100 ton)</t>
  </si>
  <si>
    <t>Molino TOW (&gt;100 ton)</t>
  </si>
  <si>
    <t>Tiempo disponible</t>
  </si>
  <si>
    <t>&lt; 4 semanas</t>
  </si>
  <si>
    <t>8–14 semanas</t>
  </si>
  <si>
    <t>10–16 semanas</t>
  </si>
  <si>
    <t>Ingeniería congelada</t>
  </si>
  <si>
    <t>No requerida</t>
  </si>
  <si>
    <t>Recomendable</t>
  </si>
  <si>
    <t>OBLIGATORIO</t>
  </si>
  <si>
    <t>Ahorro esperado</t>
  </si>
  <si>
    <t>0%</t>
  </si>
  <si>
    <t>1–3%</t>
  </si>
  <si>
    <t>5–8%</t>
  </si>
  <si>
    <t>Riesgo (cambios)</t>
  </si>
  <si>
    <t>Bajo</t>
  </si>
  <si>
    <t>Medio</t>
  </si>
  <si>
    <t>Alto si hay cambios</t>
  </si>
  <si>
    <t>Logística</t>
  </si>
  <si>
    <t>Local / inmediata</t>
  </si>
  <si>
    <t>Programada</t>
  </si>
  <si>
    <t>Programada con stock buffer</t>
  </si>
  <si>
    <t>Aplicabilidad típica</t>
  </si>
  <si>
    <t>Proyectos pequeños / urgentes</t>
  </si>
  <si>
    <t>Naves estándar &gt; 100 ton</t>
  </si>
  <si>
    <t>Edificios altos, mega-proyectos</t>
  </si>
  <si>
    <t>CALCULADORA DE PRESUPUESTO</t>
  </si>
  <si>
    <t>Aplica todos los factores sobre el peso teórico AISC — Inputs en azul, fórmulas en negro</t>
  </si>
  <si>
    <t>1. DATOS DEL PROYECTO (modificar celdas en azul)</t>
  </si>
  <si>
    <t>Valor</t>
  </si>
  <si>
    <t>Unidad</t>
  </si>
  <si>
    <t>Peso teórico AISC de la estructura</t>
  </si>
  <si>
    <t>ton</t>
  </si>
  <si>
    <t>Peso de plano según AISC</t>
  </si>
  <si>
    <t>Tipo de estructura (1=Apernada / 2=Soldada en obra / 3=Mixta)</t>
  </si>
  <si>
    <t>Determina factores aplicables</t>
  </si>
  <si>
    <t>Complejidad (HH/ton)</t>
  </si>
  <si>
    <t>HH/ton</t>
  </si>
  <si>
    <t>24=simple, 40=estándar, 60=compleja, 90=alta compl.</t>
  </si>
  <si>
    <t>Solicita ancho a molino (1=Sí / 0=No)</t>
  </si>
  <si>
    <t>Reduce desperdicio placa</t>
  </si>
  <si>
    <t>Tipo perfil armado (0=No / 3=3PL / 4=4PL sin CJP / 5=4PL con CJP)</t>
  </si>
  <si>
    <t>Aplica solo si hay perfiles armados</t>
  </si>
  <si>
    <t>2. COMPOSICIÓN DEL PESO TEÓRICO (los % deben sumar 100%)</t>
  </si>
  <si>
    <t>Componente</t>
  </si>
  <si>
    <t>% del peso</t>
  </si>
  <si>
    <t>Peso (ton)</t>
  </si>
  <si>
    <t>Placas (almas, patines, cartelas, PL conexión)</t>
  </si>
  <si>
    <t>Placa cortada en CNC</t>
  </si>
  <si>
    <t>Perfiles laminados IR/W</t>
  </si>
  <si>
    <t>Vigas y columnas</t>
  </si>
  <si>
    <t>Ángulos / HSS / Canales</t>
  </si>
  <si>
    <t>Largueros, diagonales, etc.</t>
  </si>
  <si>
    <t>TOTAL (debe ser 100%)</t>
  </si>
  <si>
    <t>3. FACTORES APLICADOS (calculados según HH/ton seleccionado)</t>
  </si>
  <si>
    <t>% Aplicado</t>
  </si>
  <si>
    <t>Peso adicional (ton)</t>
  </si>
  <si>
    <t>Subtotal (ton)</t>
  </si>
  <si>
    <t>Desperdicio en placas (CNC)</t>
  </si>
  <si>
    <t>Reducido 50% si se pide ancho a molino</t>
  </si>
  <si>
    <t>Desperdicio en perfiles IR/W</t>
  </si>
  <si>
    <t>Función de complejidad HH/ton</t>
  </si>
  <si>
    <t>Desperdicio en ángulos / HSS</t>
  </si>
  <si>
    <t>Tornillería (apernada/mixta)</t>
  </si>
  <si>
    <t>Sólo aplica si estructura es atornillada o mixta</t>
  </si>
  <si>
    <t>Soldadura (consumibles depositados)</t>
  </si>
  <si>
    <t>Varía según tipo de montaje y HH/ton</t>
  </si>
  <si>
    <t>Soldadura adicional perfil armado</t>
  </si>
  <si>
    <t>Aplica solo si hay perfiles armados (3PL/4PL)</t>
  </si>
  <si>
    <t>Conexiones (placas/atiesadores)</t>
  </si>
  <si>
    <t>Apernada usa más placas que soldada</t>
  </si>
  <si>
    <t>4. RESUMEN — PESO A COMPRAR Y FACTOR GLOBAL</t>
  </si>
  <si>
    <t>Peso teórico AISC (cobrable al cliente)</t>
  </si>
  <si>
    <t>(+) Desperdicios material (placa+perfil+ángulo)</t>
  </si>
  <si>
    <t>(+) Tornillería</t>
  </si>
  <si>
    <t>(+) Soldadura (estructura + perfil armado)</t>
  </si>
  <si>
    <t>(+) Conexiones (placas/atiesadores)</t>
  </si>
  <si>
    <t>PESO TOTAL FACTURABLE (cliente)</t>
  </si>
  <si>
    <t>PESO TOTAL MATERIAL A COMPRAR</t>
  </si>
  <si>
    <t>FACTOR GLOBAL DE COMPRA / TEÓRICO AISC</t>
  </si>
  <si>
    <t>x</t>
  </si>
  <si>
    <t>Multiplicador sobre peso de plano</t>
  </si>
  <si>
    <t>INSTRUCCIONES DE USO</t>
  </si>
  <si>
    <t>• MODIFIQUE únicamente las celdas en AZUL (inputs).
• Tipo de estructura: 1=Apernada en sitio  |  2=Soldada en sitio  |  3=Mixta.
• Perfil armado: 0=No aplica  |  3=3 placas (I/H/T)  |  4=Cajón 4PL sin penetración  |  5=Cajón 4PL con CJP.
• Verifique que la sección 2 (composición) sume 100%.
• El "Peso facturable" es lo que se cobra al cliente (peso AISC + tornillos + soldadura + conexiones).
• El "Peso material a comprar" incluye además el desperdicio — es lo que se debe ordenar al proveedor.
• El "Factor global" es el multiplicador sobre el peso AISC para estimación rápida (típico: 1.10–1.25).</t>
  </si>
  <si>
    <t>NOTAS Y CRITERIOS TÉCNICOS</t>
  </si>
  <si>
    <t>BASES DE CÁLCULO (AISC 303-22)</t>
  </si>
  <si>
    <t>1. PESO COBRABLE AISC: Conforme a ANSI/AISC 303-22 §9.2 'Calculation of Weights', el peso facturable se calcula con las dimensiones nominales del detallado del fabricante (no descuenta cortes, biseles, perforaciones, soldadura ni protuberancias). Es el estándar aceptado para facturación de estructura metálica en el mercado norteamericano y mexicano.</t>
  </si>
  <si>
    <t>2. DEFINICIÓN DEL ALCANCE (AISC 303-22 §2.1): Se cobra como acero estructural únicamente lo definido en §2.1 (vigas, columnas, base plates, splice plates, atiesadores, tornillería de conexión, leveling plates/nuts/washers, etc.). Los elementos de §2.2 (escaleras, rejillas, deck, joists, cold-formed) NO se cobran como acero estructural — van como partidas separadas.</t>
  </si>
  <si>
    <t>3. Los porcentajes presentados son resultado de proyectos reales en el mercado mexicano e incluyen talleres con operación CNC moderna (plasma de alta definición, oxicorte, prensas plegadoras, líneas de armado/soldado SAW y FCAW).</t>
  </si>
  <si>
    <t>4. Para perfiles armados, los porcentajes son adicionales a los desperdicios de placa — se contabilizan por separado pues responden a fenómenos diferentes (corte vs. consumo de soldadura).</t>
  </si>
  <si>
    <t>5. La complejidad de fabricación (HH/ton) se mide en taller, sin incluir HH de ingeniería de detalle, logística ni montaje en obra.</t>
  </si>
  <si>
    <t>6. TOLERANCIAS DE LAMINACIÓN (ASTM A6 / AISC SCM Tablas 1-22 a 1-26): las variaciones dimensionales de fábrica (típicamente ±2.5% en peso por sección) NO se descuentan del peso facturable según AISC 303-22.</t>
  </si>
  <si>
    <t>ADVERTENCIAS PARA VENTAS</t>
  </si>
  <si>
    <t>1. NO MEZCLAR factores de tipologías distintas — un proyecto debe clasificarse en UNA categoría (apernada / soldada / mixta) y un rango de HH/ton.</t>
  </si>
  <si>
    <t>2. En anteproyecto / ingeniería básica, escalar al MÁXIMO los rubros de soldadura y conexiones, pues son los más sensibles a variación de diseño durante el desarrollo de detalle.</t>
  </si>
  <si>
    <t>3. Para estructuras sismorresistentes precalificadas (SMF, IMF, BRBF, SCBF, EBF) según ANSI/AISC 341-22 con conexiones precalificadas según AISC 358, los % de conexiones suben típicamente 30–50% por requisitos de continuidad, doble web plate y RBS.</t>
  </si>
  <si>
    <t>4. Materiales especiales (acero inoxidable AISC 313/370, aluminio, A588 Corten, aceros HSLA grado 65+) requieren análisis específico — los factores aquí son para ASTM A36 / A572 Gr.50 / A992.</t>
  </si>
  <si>
    <t>5. El % de soldadura se refiere a CONSUMIBLES DEPOSITADOS, no a consumibles a comprar. Para compras, dividir por la eficiencia del proceso (SMAW 65%, FCAW 80%, SAW 95%, GMAW 90%).</t>
  </si>
  <si>
    <t>6. CONEXIONES POR OPCIÓN 3 (AISC 303-22 §3.1.1): cuando el SER delega el diseño de conexiones al fabricante, se debe agregar 'allowance' contractual conforme a §1.1 y permitir reconciliación por orden de cambio según §9.4.</t>
  </si>
  <si>
    <t>RECOMENDACIONES OPERATIVAS</t>
  </si>
  <si>
    <t>1. Revisar el PESO TEÓRICO AISC con el departamento de ingeniería antes de aplicar factores. Un error del 5% en el peso base se amplifica en todas las cantidades.</t>
  </si>
  <si>
    <t>2. Para presupuestos formales, separar siempre la oferta en: (a) peso facturable AISC §9.2, (b) tornillería estructural como partida separada (no anchor rods), (c) consumibles de soldadura, (d) conexiones / cartelas / atiesadores.</t>
  </si>
  <si>
    <t>3. Cuando el cliente solicite ahorro, evaluar PEDIDO A MOLINO si se cumplen las 3 condiciones: (a) ingeniería congelada, (b) peso &gt; 100 ton mismo perfil/espesor, (c) tiempo &gt; 12 semanas. AISC 303-22 §5.1 y NSBA G12.1-2020 §1.5 respaldan este criterio.</t>
  </si>
  <si>
    <t>4. Para celosías y armaduras, considerar SIEMPRE los rangos altos — son las estructuras con mayor variabilidad y más errores frecuentes en presupuesto.</t>
  </si>
  <si>
    <t>5. Documentar en cada cotización los SUPUESTOS UTILIZADOS (rango HH/ton asumido, tipo de estructura, % de placas/perfiles/ángulos) para poder defender / ajustar la oferta posteriormente — buena práctica respaldada por AISC 303-22 §1.1 (Commentary).</t>
  </si>
  <si>
    <t>6. Reuniones pre-detallado (AISC 303-22 §1.1 Commentary recomienda meeting de stakeholders): organizar reunión con el ODRD, ODRC y fabricador antes del 'released for construction' para alinear alcance, allowances y opciones de conexión.</t>
  </si>
  <si>
    <t>CONTINGENCIAS RECOMENDADAS POR FASE</t>
  </si>
  <si>
    <t>• Concepto / anteproyecto: +15% sobre material total estimado (alta incertidumbre)</t>
  </si>
  <si>
    <t>• Ingeniería básica (sin plano de fabricación): +8 a 10%</t>
  </si>
  <si>
    <t>• Ingeniería de detalle al 30%: +5 a 7%</t>
  </si>
  <si>
    <t>• Ingeniería de detalle al 70%: +3 a 5%</t>
  </si>
  <si>
    <t>• Ingeniería de detalle al 100% (planos taller liberados / 'released for construction' AISC 303-22): 0–2% (riesgo residual)</t>
  </si>
  <si>
    <t>• La contingencia se aplica SOBRE el material total ya factorizado, no sobre el peso AISC.</t>
  </si>
  <si>
    <t>• Si la conexión está bajo Opción 3 de AISC 303-22 §3.1.1, agregar adicional 3–5% de contingencia por incertidumbre del diseño delegado.</t>
  </si>
  <si>
    <t>ESTÁNDARES DE REFERENCIA AISC (lista detallada en hoja 11)</t>
  </si>
  <si>
    <t>• ANSI/AISC 303-22: Code of Standard Practice for Steel Buildings and Bridges (rev. nov 2022) — DOCUMENTO PRINCIPAL.</t>
  </si>
  <si>
    <t>• ANSI/AISC 360-22: Specification for Structural Steel Buildings — diseño de miembros y conexiones.</t>
  </si>
  <si>
    <t>• ANSI/AISC 341-22: Seismic Provisions for Structural Steel Buildings — sistemas sismorresistentes.</t>
  </si>
  <si>
    <t>• ANSI/AISC 358: Prequalified Connections for Special and Intermediate Steel Moment Frames.</t>
  </si>
  <si>
    <t>• AWS D1.1/D1.1M:2020: Structural Welding Code — Steel.</t>
  </si>
  <si>
    <t>• AWS D1.8/D1.8M:2021: Structural Welding Code — Seismic Supplement.</t>
  </si>
  <si>
    <t>• RCSC Specification 2020: Structural Joints Using High-Strength Bolts.</t>
  </si>
  <si>
    <t>• ASTM F3125: Structural Bolts (consolida A325, A490, F1852, F2280).</t>
  </si>
  <si>
    <t>• ASTM A6/A6M-19: General Requirements for Rolled Structural Steel Bars, Plates, Shapes.</t>
  </si>
  <si>
    <t>• ASTM A992/A992M-20 (perfiles W/IR), A572/A572M (placas Gr.50), A36/A36M.</t>
  </si>
  <si>
    <t>• AASHTO/NSBA G12.1-2020: Guidelines to Design for Constructability and Fabrication.</t>
  </si>
  <si>
    <t>• AISC Steel Construction Manual 16th Ed. (Tablas 1-22 a 1-26 tolerancias laminación).</t>
  </si>
  <si>
    <t>• Modern Steel Construction (oct-2023): Steel Plate Availability for Highway Bridges.</t>
  </si>
  <si>
    <t>• Normativa mexicana equivalente: NMX-B / NOM cuando aplique para A36 / A572.</t>
  </si>
  <si>
    <t>CONTROL DE CAMBIOS</t>
  </si>
  <si>
    <t>Versión 1.0 — Documento base para departamento de ventas. Calibrado según promedios del mercado mexicano para taller de fabricación con CNC y procesos de soldadura semi-automáticos, validado contra publicaciones oficiales de la AISC (ver hoja 11). Revisar y actualizar anualmente o ante cambios en proveeduría de placa/perfil. Responsable de actualización: Ingeniería de Procesos / Costos.</t>
  </si>
  <si>
    <t>REFERENCIAS NORMATIVAS AISC — BASES DEL INFORME</t>
  </si>
  <si>
    <t>Documentos consultados de la AISC (American Institute of Steel Construction)</t>
  </si>
  <si>
    <t>1. NORMAS Y ESTÁNDARES AISC APLICABLES</t>
  </si>
  <si>
    <t>Referencia</t>
  </si>
  <si>
    <t>Título</t>
  </si>
  <si>
    <t>Aplicación en este informe</t>
  </si>
  <si>
    <t>ANSI/AISC 303-22</t>
  </si>
  <si>
    <t>Code of Standard Practice for Steel Buildings and Bridges (rev. nov 2022)</t>
  </si>
  <si>
    <t>Sección 9.2 'Calculation of Weights' — base del concepto PESO COBRABLE. Sección 2.1 'Structural Steel' — define qué se cobra como acero estructural. Sección 5 'Materials' (mill vs stock). Sección 6 'Shop Fabrication and Delivery'. Sección 11 'Tolerances' (laminación y fabricación).</t>
  </si>
  <si>
    <t>ANSI/AISC 360-22</t>
  </si>
  <si>
    <t>Specification for Structural Steel Buildings</t>
  </si>
  <si>
    <t>Capítulo J — Diseño de conexiones (define el peso de las conexiones según diseño). Capítulo M3.5 — Soldaduras de filete y CJP/PJP. Capítulo B4 — Geometría de elementos.</t>
  </si>
  <si>
    <t>ANSI/AISC 341-22</t>
  </si>
  <si>
    <t>Seismic Provisions for Structural Steel Buildings</t>
  </si>
  <si>
    <t>Conexiones precalificadas (SMF, IMF, BRBF, SCBF) — incrementan % de conexiones por placas de continuidad, doble web plate y RBS.</t>
  </si>
  <si>
    <t>ANSI/AISC 358</t>
  </si>
  <si>
    <t>Prequalified Connections for Special and Intermediate Steel Moment Frames</t>
  </si>
  <si>
    <t>Detalles precalificados que justifican porcentajes mayores en estructuras sismorresistentes.</t>
  </si>
  <si>
    <t>RCSC Specification 2020</t>
  </si>
  <si>
    <t>Specification for Structural Joints Using High-Strength Bolts</t>
  </si>
  <si>
    <t>Base normativa para tornillería estructural (A325, A490, F1852, F2280) según ASTM F3125.</t>
  </si>
  <si>
    <t>AWS D1.1/D1.1M:2020</t>
  </si>
  <si>
    <t>Structural Welding Code — Steel</t>
  </si>
  <si>
    <t>Procedimientos y consumibles de soldadura — referenciado por AISC 303-22.</t>
  </si>
  <si>
    <t>AWS D1.8/D1.8M:2021</t>
  </si>
  <si>
    <t>Structural Welding Code — Seismic Supplement</t>
  </si>
  <si>
    <t>Soldadura en sistemas sismorresistentes — incrementos por requisitos de tenacidad.</t>
  </si>
  <si>
    <t>ASTM A6/A6M-19</t>
  </si>
  <si>
    <t>General Requirements for Rolled Structural Steel Bars, Plates, Shapes</t>
  </si>
  <si>
    <t>Tolerancias dimensionales de laminación — base de pesos teóricos AISC. Tablas 1-22 a 1-26 del AISC Steel Construction Manual.</t>
  </si>
  <si>
    <t>ASTM A992/A992M-20</t>
  </si>
  <si>
    <t>Structural Steel Shapes</t>
  </si>
  <si>
    <t>Estándar para perfiles W (IR) — Fy=50 ksi.</t>
  </si>
  <si>
    <t>ASTM A572/A572M</t>
  </si>
  <si>
    <t>High-Strength Low-Alloy Columbium-Vanadium Structural Steel</t>
  </si>
  <si>
    <t>Placas estructurales Gr.50 — base para perfiles armados.</t>
  </si>
  <si>
    <t>ASTM F3125</t>
  </si>
  <si>
    <t>High Strength Structural Bolts (consolida A325, A490, F1852, F2280)</t>
  </si>
  <si>
    <t>Tornillería estructural.</t>
  </si>
  <si>
    <t>ASTM F1554</t>
  </si>
  <si>
    <t>Anchor Rods Gr.36, 55 y 105</t>
  </si>
  <si>
    <t>Pernos de anclaje (NO se incluyen en el % de tornillería estructural según definición AISC 303 Sección 2.1).</t>
  </si>
  <si>
    <t>2. PUNTOS NORMATIVOS CRÍTICOS PARA PRESUPUESTACIÓN</t>
  </si>
  <si>
    <t>Cláusula</t>
  </si>
  <si>
    <t>Aplicación práctica para presupuesto</t>
  </si>
  <si>
    <t>AISC 303-22 §2.1</t>
  </si>
  <si>
    <t>Definición de Acero Estructural</t>
  </si>
  <si>
    <t>El acero estructural cobrable incluye SÓLO los elementos del marco estructural enumerados en la Sección 2.1: vigas, columnas, placas base, atiesadores, tornillería de conexión taller y campo, placas de conexión, splice plates, leveling plates, leveling nuts/washers, etc. NO incluye elementos de la Sección 2.2: escaleras, barandales, rejillas, deck, open-web joists, refuerzo concreto. CONSECUENCIA PARA VENTAS: estos elementos van como partidas separadas.</t>
  </si>
  <si>
    <t>AISC 303-22 §5.1</t>
  </si>
  <si>
    <t>Mill Materials vs. Stock Materials</t>
  </si>
  <si>
    <t>Mill = pedido directo a molino para los requisitos exactos del proyecto. Stock = materiales de almacén. Los pedidos a molino reducen desperdicio pero requieren TOW (Typical Order Width) y plazos de 8–14 semanas. Aplicable para placas A36, A572 Gr.50 y A588 (Corten).</t>
  </si>
  <si>
    <t>AISC 303-22 §6 + ASTM A6</t>
  </si>
  <si>
    <t>Tolerancias de fabricación y laminación</t>
  </si>
  <si>
    <t>Las tolerancias de laminación (mill tolerances) generan diferencias entre peso teórico y peso real de hasta ±2.5% en peso por sección. ASTM A6 tabla 1-22 a 1-26 del Manual AISC. Estas variaciones SON aceptadas y NO se descuentan del peso facturable.</t>
  </si>
  <si>
    <t>AISC 303-22 §9.2</t>
  </si>
  <si>
    <t>Calculation of Weights</t>
  </si>
  <si>
    <t>Es la sección que rige el PESO COBRABLE: se calcula con las dimensiones nominales de las piezas según el detallado, sin descontar cortes, biseles, perforaciones ni recortes. Es la base de TODOS los porcentajes presentados en este informe.</t>
  </si>
  <si>
    <t>AISC 303-22 §6.3</t>
  </si>
  <si>
    <t>Fitting and Fastening — Conexiones de taller</t>
  </si>
  <si>
    <t>Las conexiones de taller pueden ser apernadas o soldadas a discreción del fabricante salvo indicación contraria del SER. Esto afecta al % de soldadura/tornillería del taller.</t>
  </si>
  <si>
    <t>AISC 303-22 §3.1.1</t>
  </si>
  <si>
    <t>Opciones de diseño de conexiones (Opción 1, 2, 3)</t>
  </si>
  <si>
    <t>Opción 1: SER diseña todas las conexiones. Opción 2: SER selecciona y completa con tablas del Manual AISC. Opción 3: diseño delegado al fabricante. La Opción 3 implica MAYOR INCERTIDUMBRE en presupuesto y exige asignar 'allowance' contractual según §1.1 del Code.</t>
  </si>
  <si>
    <t>AISC 360-22 Cap. J</t>
  </si>
  <si>
    <t>Geometría de conexiones</t>
  </si>
  <si>
    <t>Define los requerimientos mínimos de placas de conexión (espesores, distancias mínimas, gages, etc.). Esto sustenta los % de placas de conexión del informe.</t>
  </si>
  <si>
    <t>AISC 341-22</t>
  </si>
  <si>
    <t>Provisiones sísmicas — incrementos en conexiones</t>
  </si>
  <si>
    <t>Para SMF, IMF, BRBF y SCBF: placas de continuidad, doble web plate, atiesadores, RBS aumentan el peso de conexiones 30–50% sobre el caso no sísmico (justifica usar columna MAX o agregar contingencia).</t>
  </si>
  <si>
    <t>AISC NSBA — Plate Availability</t>
  </si>
  <si>
    <t>Anchos estándar de placa industrial</t>
  </si>
  <si>
    <t>AISC publicó (Modern Steel oct-2023) que los anchos estándar de la industria son 72" (1830 mm), 96" (2440 mm) y 120" (3050 mm). Anchos fuera de éstos requieren 'special heat sequence' (pedido especial al molino). Esto valida los anchos del mercado MX que coinciden con éstos.</t>
  </si>
  <si>
    <t>AISC FAQ 1.4.4</t>
  </si>
  <si>
    <t>Largos de molino para perfiles</t>
  </si>
  <si>
    <t>Los largos comunes de perfiles laminados desde molino oscilan entre 30 ft (9.1 m) y 65 ft (19.8 m) en incrementos de 5 ft. En México el estándar inmediato es 12 m (~40 ft), con 18 m disponible bajo pedido.</t>
  </si>
  <si>
    <t>ASTM A6 §18 / AISC 303</t>
  </si>
  <si>
    <t>Identificación de material — trazabilidad</t>
  </si>
  <si>
    <t>Las placas se marcan con norma ASTM, grado, colada (heat), tamaño y marca. Los perfiles con corte transversal mayor a 6" llevan marca de fabricante en relieve. Esto es clave para trazabilidad y NO genera costo adicional al peso facturable.</t>
  </si>
  <si>
    <t>3. PUBLICACIONES TÉCNICAS AISC CONSULTADAS</t>
  </si>
  <si>
    <t>Publicación</t>
  </si>
  <si>
    <t>Título / Documento</t>
  </si>
  <si>
    <t>Relevancia para este informe</t>
  </si>
  <si>
    <t>Modern Steel Construction (oct-2023)</t>
  </si>
  <si>
    <t>Steel Plate Availability for Highway Bridges</t>
  </si>
  <si>
    <t>Tablas de disponibilidad de placa por mill, ancho y espesor. Confirma anchos 72", 96" y 120" como industria-estándar.</t>
  </si>
  <si>
    <t>AASHTO/NSBA G12.1-2020</t>
  </si>
  <si>
    <t>Guidelines to Design for Constructability and Fabrication</t>
  </si>
  <si>
    <t>Guía colaborativa AASHTO-NSBA sobre constructibilidad. Sección 1.5 trata pérdidas de material por escuadrado y cortes.</t>
  </si>
  <si>
    <t>AISC Steel Construction Manual 16th Ed.</t>
  </si>
  <si>
    <t>Tablas 1-22 a 1-26 (tolerancias de laminación)</t>
  </si>
  <si>
    <t>Base de las tolerancias dimensionales aplicables al cálculo de peso teórico AISC.</t>
  </si>
  <si>
    <t>AISC Design Guide 36</t>
  </si>
  <si>
    <t>Design Considerations for Camber</t>
  </si>
  <si>
    <t>Tolerancias de contraflecha — afectan a vigas armadas con peraltes altos.</t>
  </si>
  <si>
    <t>AISC Engineering FAQ 1.4</t>
  </si>
  <si>
    <t>Other General Information</t>
  </si>
  <si>
    <t>Aclaraciones sobre placa vs barra, largos de molino, marcado, trazabilidad.</t>
  </si>
  <si>
    <t>AISC Steel Solutions Center</t>
  </si>
  <si>
    <t>866.ASK.AISC — Soporte técnico</t>
  </si>
  <si>
    <t>Recurso oficial de consulta para casos puntuales de fabricación o diseño.</t>
  </si>
  <si>
    <t>AISC Code of Standard Practice §9.1.5</t>
  </si>
  <si>
    <t>Reconciliación por orden de cambio</t>
  </si>
  <si>
    <t>Cuando el alcance no está completo en bidding, se permite el ajuste del precio según AISC 303 §9.4 — proteger al fabricante de subestimación.</t>
  </si>
  <si>
    <t>4. AJUSTES INCORPORADOS DESDE LAS PUBLICACIONES AISC</t>
  </si>
  <si>
    <t>A partir de la consulta a las publicaciones AISC oficiales, se incorporaron en este informe los siguientes ajustes y precisiones técnicas:
• ANCHOS DE PLACA: se confirma que los anchos del mercado MX (1830, 2440, 3050 mm) coinciden con los anchos industria-estándar AISC (72", 96", 120"). Los anchos fuera de este rango requieren 'special heat sequence' del molino — esto se reflejó en la hoja de Ancho a Molino con peso mínimo 25–40 ton.
• PERFILES LARGOS: se ajustó la disponibilidad de largos a la práctica AISC: 30–65 ft (9.1–19.8 m) en incrementos de 5 ft del molino. La disponibilidad inmediata MX (12 m) corresponde al largo más comercial; el extendido a 18 m existe pero requiere pedido programado.
• TORNILLERÍA — definición precisa: según AISC 303-22 §2.1, la tornillería estructural incluye fasteners para conectar elementos del marco (shop bolts, field bolts, leveling nuts/washers). NO incluye pernos de anclaje (F1554) que están en §2.1 como elemento separado pero contractualmente se manejan como partida aparte.
• CONEXIONES SÍSMICAS: se agregó nota explícita sobre AISC 341 — para sistemas SMF, IMF, BRBF y SCBF el % de conexiones aumenta 30–50% (placas de continuidad, doble web plate, RBS) — usar siempre la columna MAX del informe en estos casos.
• OPCIONES DE CONEXIÓN: se incorporó referencia a AISC 303 §3.1.1 — la Opción 3 (diseño delegado al fabricante) genera mayor incertidumbre y requiere 'allowance' según §1.1 del Code; agregar contingencia adicional.
• PESO COBRABLE: aclarado que se rige por AISC 303-22 §9.2 'Calculation of Weights' — peso calculado con dimensiones nominales del detallado, sin descuentos. Las tolerancias de laminación (ASTM A6) NO se descuentan.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</si>
</sst>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
  </numFmts>
  <fonts count="12" x14ac:knownFonts="1">
    <font>
      <sz val="11"/>
      <color theme="1"/>
      <name val="Calibri"/>
      <family val="2"/>
      <charset val="1"/>
    </font>
    <font>
      <b/>
      <sz val="18"/>
      <color rgb="FFFFFFFF"/>
      <name val="Arial"/>
      <family val="2"/>
    </font>
    <font>
      <b/>
      <sz val="14"/>
      <color rgb="FFFFFFFF"/>
      <name val="Arial"/>
      <family val="2"/>
    </font>
    <font>
      <b/>
      <sz val="10"/>
      <name val="Arial"/>
      <family val="2"/>
    </font>
    <font>
      <sz val="10"/>
      <name val="Arial"/>
      <family val="2"/>
    </font>
    <font>
      <b/>
      <sz val="12"/>
      <color rgb="FF1F4E78"/>
      <name val="Arial"/>
      <family val="2"/>
    </font>
    <font>
      <b/>
      <sz val="11"/>
      <color rgb="FFFFFFFF"/>
      <name val="Arial"/>
      <family val="2"/>
    </font>
    <font>
      <sz val="9"/>
      <name val="Arial"/>
      <family val="2"/>
    </font>
    <font>
      <i/>
      <sz val="9"/>
      <color rgb="FF595959"/>
      <name val="Arial"/>
      <family val="2"/>
    </font>
    <font>
      <b/>
      <sz val="10"/>
      <color rgb="FF0000FF"/>
      <name val="Arial"/>
      <family val="2"/>
    </font>
    <font>
      <sz val="10"/>
      <color rgb="FF000000"/>
      <name val="Arial"/>
      <family val="2"/>
    </font>
    <font>
      <b/>
      <sz val="11"/>
      <color rgb="FF1F4E78"/>
      <name val="Arial"/>
      <family val="2"/>
    </font>
  </fonts>
  <fills count="12">
    <fill>
      <patternFill patternType="none"/>
    </fill>
    <fill>
      <patternFill patternType="gray125"/>
    </fill>
    <fill>
      <patternFill patternType="solid">
        <fgColor rgb="FF1F4E78"/>
        <bgColor rgb="FF003366"/>
      </patternFill>
    </fill>
    <fill>
      <patternFill patternType="solid">
        <fgColor rgb="FF2E75B6"/>
        <bgColor rgb="FF0066CC"/>
      </patternFill>
    </fill>
    <fill>
      <patternFill patternType="solid">
        <fgColor rgb="FFBDD7EE"/>
        <bgColor rgb="FFD9E1F2"/>
      </patternFill>
    </fill>
    <fill>
      <patternFill patternType="solid">
        <fgColor rgb="FFFFF2CC"/>
        <bgColor rgb="FFFFE699"/>
      </patternFill>
    </fill>
    <fill>
      <patternFill patternType="solid">
        <fgColor rgb="FFFFFFFF"/>
        <bgColor rgb="FFFFF2CC"/>
      </patternFill>
    </fill>
    <fill>
      <patternFill patternType="solid">
        <fgColor rgb="FFFFE699"/>
        <bgColor rgb="FFFFF2CC"/>
      </patternFill>
    </fill>
    <fill>
      <patternFill patternType="solid">
        <fgColor rgb="FFC6E0B4"/>
        <bgColor rgb="FFBDD7EE"/>
      </patternFill>
    </fill>
    <fill>
      <patternFill patternType="solid">
        <fgColor rgb="FFF4B084"/>
        <bgColor rgb="FFFF99CC"/>
      </patternFill>
    </fill>
    <fill>
      <patternFill patternType="solid">
        <fgColor rgb="FF5B9BD5"/>
        <bgColor rgb="FF969696"/>
      </patternFill>
    </fill>
    <fill>
      <patternFill patternType="solid">
        <fgColor rgb="FFD9E1F2"/>
        <bgColor rgb="FFBDD7EE"/>
      </patternFill>
    </fill>
  </fills>
  <borders count="6">
    <border>
      <left/>
      <right/>
      <top/>
      <bottom/>
      <diagonal/>
    </border>
    <border>
      <left style="medium">
        <color rgb="FF1F4E78"/>
      </left>
      <right/>
      <top style="medium">
        <color rgb="FF1F4E78"/>
      </top>
      <bottom style="medium">
        <color rgb="FF1F4E78"/>
      </bottom>
      <diagonal/>
    </border>
    <border>
      <left style="thin">
        <color rgb="FF808080"/>
      </left>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diagonal/>
    </border>
    <border>
      <left style="medium">
        <color rgb="FF1F4E78"/>
      </left>
      <right style="medium">
        <color rgb="FF1F4E78"/>
      </right>
      <top style="medium">
        <color rgb="FF1F4E78"/>
      </top>
      <bottom style="medium">
        <color rgb="FF1F4E78"/>
      </bottom>
      <diagonal/>
    </border>
  </borders>
  <cellStyleXfs count="1">
    <xf numFmtId="0" fontId="0" fillId="0" borderId="0"/>
  </cellStyleXfs>
  <cellXfs count="74">
    <xf numFmtId="0" fontId="0" fillId="0" borderId="0" xfId="0"/>
    <xf numFmtId="0" fontId="4" fillId="0" borderId="3" xfId="0" applyFont="1" applyBorder="1" applyAlignment="1">
      <alignment horizontal="center" vertical="center" wrapText="1"/>
    </xf>
    <xf numFmtId="0" fontId="3" fillId="8" borderId="3" xfId="0" applyFont="1" applyFill="1" applyBorder="1" applyAlignment="1">
      <alignment horizontal="left" vertical="center" wrapText="1"/>
    </xf>
    <xf numFmtId="0" fontId="3" fillId="0" borderId="3" xfId="0" applyFont="1" applyBorder="1" applyAlignment="1">
      <alignment horizontal="left" vertical="center" wrapText="1"/>
    </xf>
    <xf numFmtId="0" fontId="6" fillId="10" borderId="3" xfId="0" applyFont="1" applyFill="1" applyBorder="1" applyAlignment="1">
      <alignment horizontal="center" vertical="center" wrapText="1"/>
    </xf>
    <xf numFmtId="0" fontId="7" fillId="0" borderId="2" xfId="0" applyFont="1" applyBorder="1" applyAlignment="1">
      <alignment horizontal="left" vertical="top" wrapText="1"/>
    </xf>
    <xf numFmtId="0" fontId="4" fillId="7" borderId="2" xfId="0" applyFont="1" applyFill="1" applyBorder="1" applyAlignment="1">
      <alignment horizontal="left" vertical="top" wrapText="1"/>
    </xf>
    <xf numFmtId="0" fontId="7" fillId="0" borderId="2" xfId="0" applyFont="1" applyBorder="1" applyAlignment="1">
      <alignment horizontal="left" vertical="center" wrapText="1"/>
    </xf>
    <xf numFmtId="0" fontId="3" fillId="4" borderId="2" xfId="0" applyFont="1" applyFill="1" applyBorder="1"/>
    <xf numFmtId="0" fontId="3" fillId="4" borderId="2" xfId="0" applyFont="1" applyFill="1" applyBorder="1" applyAlignment="1">
      <alignment horizontal="left" vertical="center" wrapText="1"/>
    </xf>
    <xf numFmtId="0" fontId="4" fillId="7" borderId="4" xfId="0" applyFont="1" applyFill="1" applyBorder="1" applyAlignment="1">
      <alignment horizontal="left" vertical="top" wrapText="1"/>
    </xf>
    <xf numFmtId="0" fontId="4" fillId="0" borderId="3" xfId="0" applyFont="1" applyBorder="1" applyAlignment="1">
      <alignment horizontal="left" vertical="center" wrapText="1"/>
    </xf>
    <xf numFmtId="0" fontId="5" fillId="4" borderId="2" xfId="0" applyFont="1" applyFill="1" applyBorder="1" applyAlignment="1">
      <alignment horizontal="left" vertical="center" wrapText="1"/>
    </xf>
    <xf numFmtId="0" fontId="2" fillId="3" borderId="2"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3" fillId="0" borderId="0" xfId="0" applyFont="1"/>
    <xf numFmtId="0" fontId="4" fillId="0" borderId="0" xfId="0" applyFont="1"/>
    <xf numFmtId="0" fontId="3" fillId="0" borderId="3" xfId="0" applyFont="1" applyBorder="1" applyAlignment="1">
      <alignment horizontal="center" vertical="center" wrapText="1"/>
    </xf>
    <xf numFmtId="0" fontId="3" fillId="0" borderId="3" xfId="0" applyFont="1" applyBorder="1" applyAlignment="1">
      <alignment horizontal="left" vertical="center" wrapText="1"/>
    </xf>
    <xf numFmtId="0" fontId="4" fillId="0" borderId="3" xfId="0" applyFont="1" applyBorder="1" applyAlignment="1">
      <alignment horizontal="left" vertical="center" wrapText="1"/>
    </xf>
    <xf numFmtId="0" fontId="3" fillId="5" borderId="3"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3" fillId="7" borderId="3" xfId="0" applyFont="1" applyFill="1" applyBorder="1" applyAlignment="1">
      <alignment horizontal="center" vertical="center" wrapText="1"/>
    </xf>
    <xf numFmtId="0" fontId="3" fillId="8" borderId="3" xfId="0" applyFont="1" applyFill="1" applyBorder="1" applyAlignment="1">
      <alignment horizontal="center" vertical="center" wrapText="1"/>
    </xf>
    <xf numFmtId="0" fontId="3" fillId="9" borderId="3" xfId="0" applyFont="1" applyFill="1" applyBorder="1" applyAlignment="1">
      <alignment horizontal="center" vertical="center" wrapText="1"/>
    </xf>
    <xf numFmtId="0" fontId="6" fillId="10" borderId="3" xfId="0" applyFont="1" applyFill="1" applyBorder="1" applyAlignment="1">
      <alignment horizontal="center" vertical="center" wrapText="1"/>
    </xf>
    <xf numFmtId="164" fontId="0" fillId="0" borderId="3" xfId="0" applyNumberFormat="1" applyBorder="1" applyAlignment="1">
      <alignment horizontal="center" vertical="center" wrapText="1"/>
    </xf>
    <xf numFmtId="164" fontId="3" fillId="8" borderId="3" xfId="0" applyNumberFormat="1" applyFont="1" applyFill="1" applyBorder="1" applyAlignment="1">
      <alignment horizontal="center" vertical="center" wrapText="1"/>
    </xf>
    <xf numFmtId="0" fontId="7" fillId="0" borderId="3" xfId="0" applyFont="1" applyBorder="1" applyAlignment="1">
      <alignment horizontal="left" vertical="center" wrapText="1"/>
    </xf>
    <xf numFmtId="0" fontId="4" fillId="0" borderId="3" xfId="0" applyFont="1" applyBorder="1" applyAlignment="1">
      <alignment horizontal="center" vertical="center" wrapText="1"/>
    </xf>
    <xf numFmtId="164" fontId="4" fillId="0" borderId="3" xfId="0" applyNumberFormat="1" applyFont="1" applyBorder="1" applyAlignment="1">
      <alignment horizontal="center" vertical="center" wrapText="1"/>
    </xf>
    <xf numFmtId="0" fontId="0" fillId="0" borderId="3" xfId="0" applyBorder="1"/>
    <xf numFmtId="9" fontId="4" fillId="0" borderId="3" xfId="0" applyNumberFormat="1" applyFont="1" applyBorder="1" applyAlignment="1">
      <alignment horizontal="center" vertical="center" wrapText="1"/>
    </xf>
    <xf numFmtId="10" fontId="4" fillId="0" borderId="3" xfId="0" applyNumberFormat="1" applyFont="1" applyBorder="1" applyAlignment="1">
      <alignment horizontal="center" vertical="center" wrapText="1"/>
    </xf>
    <xf numFmtId="10" fontId="3" fillId="8" borderId="3" xfId="0" applyNumberFormat="1" applyFont="1" applyFill="1" applyBorder="1" applyAlignment="1">
      <alignment horizontal="center" vertical="center" wrapText="1"/>
    </xf>
    <xf numFmtId="0" fontId="7" fillId="0" borderId="3" xfId="0" applyFont="1" applyBorder="1" applyAlignment="1">
      <alignment horizontal="center" vertical="center" wrapText="1"/>
    </xf>
    <xf numFmtId="0" fontId="3" fillId="11" borderId="3" xfId="0" applyFont="1" applyFill="1" applyBorder="1" applyAlignment="1">
      <alignment horizontal="left" vertical="center" wrapText="1"/>
    </xf>
    <xf numFmtId="164" fontId="3" fillId="11" borderId="3" xfId="0" applyNumberFormat="1" applyFont="1" applyFill="1" applyBorder="1" applyAlignment="1">
      <alignment horizontal="center" vertical="center" wrapText="1"/>
    </xf>
    <xf numFmtId="0" fontId="3" fillId="11" borderId="3" xfId="0" applyFont="1" applyFill="1" applyBorder="1" applyAlignment="1">
      <alignment horizontal="center" vertical="center" wrapText="1"/>
    </xf>
    <xf numFmtId="0" fontId="8" fillId="0" borderId="3" xfId="0" applyFont="1" applyBorder="1" applyAlignment="1">
      <alignment horizontal="center" vertical="center" wrapText="1"/>
    </xf>
    <xf numFmtId="0" fontId="0" fillId="0" borderId="3" xfId="0" applyBorder="1" applyAlignment="1">
      <alignment horizontal="center" vertical="center" wrapText="1"/>
    </xf>
    <xf numFmtId="0" fontId="4" fillId="8" borderId="3" xfId="0" applyFont="1" applyFill="1" applyBorder="1" applyAlignment="1">
      <alignment horizontal="left" vertical="center" wrapText="1"/>
    </xf>
    <xf numFmtId="0" fontId="4" fillId="0" borderId="3" xfId="0" applyFont="1" applyBorder="1"/>
    <xf numFmtId="4" fontId="9" fillId="5" borderId="3" xfId="0" applyNumberFormat="1" applyFont="1" applyFill="1" applyBorder="1" applyAlignment="1">
      <alignment horizontal="center" vertical="center" wrapText="1"/>
    </xf>
    <xf numFmtId="0" fontId="8" fillId="0" borderId="3" xfId="0" applyFont="1" applyBorder="1" applyAlignment="1">
      <alignment horizontal="left" vertical="center" wrapText="1"/>
    </xf>
    <xf numFmtId="1" fontId="9" fillId="5" borderId="3" xfId="0" applyNumberFormat="1" applyFont="1" applyFill="1" applyBorder="1" applyAlignment="1">
      <alignment horizontal="center" vertical="center" wrapText="1"/>
    </xf>
    <xf numFmtId="164" fontId="9" fillId="5" borderId="3" xfId="0" applyNumberFormat="1" applyFont="1" applyFill="1" applyBorder="1" applyAlignment="1">
      <alignment horizontal="center" vertical="center" wrapText="1"/>
    </xf>
    <xf numFmtId="4" fontId="10" fillId="0" borderId="3" xfId="0" applyNumberFormat="1" applyFont="1" applyBorder="1" applyAlignment="1">
      <alignment horizontal="center" vertical="center" wrapText="1"/>
    </xf>
    <xf numFmtId="0" fontId="11" fillId="11" borderId="3" xfId="0" applyFont="1" applyFill="1" applyBorder="1" applyAlignment="1">
      <alignment horizontal="right" vertical="center" wrapText="1"/>
    </xf>
    <xf numFmtId="164" fontId="11" fillId="11" borderId="3" xfId="0" applyNumberFormat="1" applyFont="1" applyFill="1" applyBorder="1" applyAlignment="1">
      <alignment horizontal="center" vertical="center" wrapText="1"/>
    </xf>
    <xf numFmtId="4" fontId="11" fillId="11" borderId="3" xfId="0" applyNumberFormat="1" applyFont="1" applyFill="1" applyBorder="1" applyAlignment="1">
      <alignment horizontal="center" vertical="center" wrapText="1"/>
    </xf>
    <xf numFmtId="0" fontId="0" fillId="11" borderId="3" xfId="0" applyFill="1" applyBorder="1"/>
    <xf numFmtId="0" fontId="0" fillId="0" borderId="3" xfId="0" applyBorder="1" applyAlignment="1">
      <alignment horizontal="left" vertical="center" wrapText="1"/>
    </xf>
    <xf numFmtId="164" fontId="10" fillId="0" borderId="3" xfId="0" applyNumberFormat="1" applyFont="1" applyBorder="1" applyAlignment="1">
      <alignment horizontal="center" vertical="center" wrapText="1"/>
    </xf>
    <xf numFmtId="165" fontId="10" fillId="0" borderId="3" xfId="0" applyNumberFormat="1" applyFont="1" applyBorder="1" applyAlignment="1">
      <alignment horizontal="center" vertical="center" wrapText="1"/>
    </xf>
    <xf numFmtId="10" fontId="10" fillId="0" borderId="3" xfId="0" applyNumberFormat="1" applyFont="1" applyBorder="1" applyAlignment="1">
      <alignment horizontal="center" vertical="center" wrapText="1"/>
    </xf>
    <xf numFmtId="0" fontId="10" fillId="0" borderId="3" xfId="0" applyFont="1" applyBorder="1"/>
    <xf numFmtId="0" fontId="11" fillId="11" borderId="3" xfId="0" applyFont="1" applyFill="1" applyBorder="1" applyAlignment="1">
      <alignment horizontal="left" vertical="center" wrapText="1"/>
    </xf>
    <xf numFmtId="165" fontId="11" fillId="11" borderId="3" xfId="0" applyNumberFormat="1" applyFont="1" applyFill="1" applyBorder="1" applyAlignment="1">
      <alignment horizontal="center" vertical="center" wrapText="1"/>
    </xf>
    <xf numFmtId="0" fontId="0" fillId="11" borderId="3" xfId="0" applyFill="1" applyBorder="1" applyAlignment="1">
      <alignment horizontal="center" vertical="center" wrapText="1"/>
    </xf>
    <xf numFmtId="0" fontId="11" fillId="7" borderId="3" xfId="0" applyFont="1" applyFill="1" applyBorder="1" applyAlignment="1">
      <alignment horizontal="left" vertical="center" wrapText="1"/>
    </xf>
    <xf numFmtId="165" fontId="11" fillId="7" borderId="3" xfId="0" applyNumberFormat="1" applyFont="1" applyFill="1" applyBorder="1" applyAlignment="1">
      <alignment horizontal="center" vertical="center" wrapText="1"/>
    </xf>
    <xf numFmtId="0" fontId="0" fillId="7" borderId="3" xfId="0" applyFill="1" applyBorder="1" applyAlignment="1">
      <alignment horizontal="center" vertical="center" wrapText="1"/>
    </xf>
    <xf numFmtId="0" fontId="0" fillId="7" borderId="3" xfId="0" applyFill="1" applyBorder="1"/>
    <xf numFmtId="0" fontId="11" fillId="8" borderId="3" xfId="0" applyFont="1" applyFill="1" applyBorder="1" applyAlignment="1">
      <alignment horizontal="left" vertical="center" wrapText="1"/>
    </xf>
    <xf numFmtId="166" fontId="11" fillId="8" borderId="3" xfId="0" applyNumberFormat="1" applyFont="1" applyFill="1" applyBorder="1" applyAlignment="1">
      <alignment horizontal="center" vertical="center" wrapText="1"/>
    </xf>
    <xf numFmtId="0" fontId="0" fillId="8" borderId="3" xfId="0" applyFill="1" applyBorder="1" applyAlignment="1">
      <alignment horizontal="center" vertical="center" wrapText="1"/>
    </xf>
    <xf numFmtId="0" fontId="1" fillId="2" borderId="5"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5" fillId="4" borderId="3" xfId="0" applyFont="1" applyFill="1" applyBorder="1" applyAlignment="1">
      <alignment horizontal="left" vertical="center" wrapText="1"/>
    </xf>
    <xf numFmtId="0" fontId="4" fillId="0" borderId="3" xfId="0" applyFont="1" applyBorder="1" applyAlignment="1">
      <alignment horizontal="left" vertical="top" wrapText="1"/>
    </xf>
    <xf numFmtId="0" fontId="6" fillId="10" borderId="2" xfId="0" applyFont="1" applyFill="1" applyBorder="1" applyAlignment="1">
      <alignment horizontal="center" vertical="center" wrapText="1"/>
    </xf>
    <xf numFmtId="0" fontId="8" fillId="0" borderId="3" xfId="0" applyFont="1" applyBorder="1" applyAlignment="1">
      <alignment horizontal="left" vertical="center" wrapText="1"/>
    </xf>
    <xf numFmtId="0" fontId="8" fillId="8" borderId="3"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6E0B4"/>
      <rgbColor rgb="FF808080"/>
      <rgbColor rgb="FF5B9BD5"/>
      <rgbColor rgb="FF993366"/>
      <rgbColor rgb="FFFFF2CC"/>
      <rgbColor rgb="FFD9E1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4B084"/>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38"/>
  <sheetViews>
    <sheetView zoomScaleNormal="100" workbookViewId="0"/>
  </sheetViews>
  <sheetFormatPr baseColWidth="10" defaultColWidth="8.6640625" defaultRowHeight="14.4" x14ac:dyDescent="0.3"/>
  <cols>
    <col min="1" max="1" width="4" customWidth="1"/>
    <col min="2" max="2" width="12" customWidth="1"/>
    <col min="3" max="3" width="50" customWidth="1"/>
    <col min="4" max="4" width="60" customWidth="1"/>
    <col min="5" max="5" width="4" customWidth="1"/>
  </cols>
  <sheetData>
    <row r="2" spans="2:4" ht="34.5" customHeight="1" x14ac:dyDescent="0.3">
      <c r="B2" s="14" t="s">
        <v>0</v>
      </c>
      <c r="C2" s="14"/>
      <c r="D2" s="14"/>
    </row>
    <row r="3" spans="2:4" ht="24.75" customHeight="1" x14ac:dyDescent="0.3">
      <c r="B3" s="13" t="s">
        <v>1</v>
      </c>
      <c r="C3" s="13"/>
      <c r="D3" s="13"/>
    </row>
    <row r="4" spans="2:4" ht="21.75" customHeight="1" x14ac:dyDescent="0.3">
      <c r="B4" s="13" t="s">
        <v>2</v>
      </c>
      <c r="C4" s="13"/>
      <c r="D4" s="13"/>
    </row>
    <row r="6" spans="2:4" x14ac:dyDescent="0.3">
      <c r="B6" s="15" t="s">
        <v>3</v>
      </c>
      <c r="C6" s="16" t="s">
        <v>4</v>
      </c>
    </row>
    <row r="7" spans="2:4" x14ac:dyDescent="0.3">
      <c r="B7" s="15" t="s">
        <v>5</v>
      </c>
      <c r="C7" s="16" t="s">
        <v>6</v>
      </c>
    </row>
    <row r="8" spans="2:4" x14ac:dyDescent="0.3">
      <c r="B8" s="15" t="s">
        <v>7</v>
      </c>
      <c r="C8" s="16" t="s">
        <v>8</v>
      </c>
    </row>
    <row r="9" spans="2:4" x14ac:dyDescent="0.3">
      <c r="B9" s="15" t="s">
        <v>9</v>
      </c>
      <c r="C9" s="16" t="s">
        <v>10</v>
      </c>
    </row>
    <row r="12" spans="2:4" ht="19.5" customHeight="1" x14ac:dyDescent="0.3">
      <c r="B12" s="12" t="s">
        <v>11</v>
      </c>
      <c r="C12" s="12"/>
      <c r="D12" s="12"/>
    </row>
    <row r="13" spans="2:4" x14ac:dyDescent="0.3">
      <c r="B13" s="17" t="s">
        <v>12</v>
      </c>
      <c r="C13" s="18" t="s">
        <v>13</v>
      </c>
      <c r="D13" s="19" t="s">
        <v>14</v>
      </c>
    </row>
    <row r="14" spans="2:4" x14ac:dyDescent="0.3">
      <c r="B14" s="17" t="s">
        <v>15</v>
      </c>
      <c r="C14" s="18" t="s">
        <v>16</v>
      </c>
      <c r="D14" s="19" t="s">
        <v>17</v>
      </c>
    </row>
    <row r="15" spans="2:4" x14ac:dyDescent="0.3">
      <c r="B15" s="17" t="s">
        <v>18</v>
      </c>
      <c r="C15" s="18" t="s">
        <v>19</v>
      </c>
      <c r="D15" s="19" t="s">
        <v>20</v>
      </c>
    </row>
    <row r="16" spans="2:4" x14ac:dyDescent="0.3">
      <c r="B16" s="17" t="s">
        <v>21</v>
      </c>
      <c r="C16" s="18" t="s">
        <v>22</v>
      </c>
      <c r="D16" s="19" t="s">
        <v>23</v>
      </c>
    </row>
    <row r="17" spans="2:4" x14ac:dyDescent="0.3">
      <c r="B17" s="17" t="s">
        <v>24</v>
      </c>
      <c r="C17" s="18" t="s">
        <v>25</v>
      </c>
      <c r="D17" s="19" t="s">
        <v>26</v>
      </c>
    </row>
    <row r="18" spans="2:4" x14ac:dyDescent="0.3">
      <c r="B18" s="17" t="s">
        <v>27</v>
      </c>
      <c r="C18" s="18" t="s">
        <v>28</v>
      </c>
      <c r="D18" s="19" t="s">
        <v>29</v>
      </c>
    </row>
    <row r="19" spans="2:4" x14ac:dyDescent="0.3">
      <c r="B19" s="17" t="s">
        <v>30</v>
      </c>
      <c r="C19" s="18" t="s">
        <v>31</v>
      </c>
      <c r="D19" s="19" t="s">
        <v>32</v>
      </c>
    </row>
    <row r="20" spans="2:4" x14ac:dyDescent="0.3">
      <c r="B20" s="17" t="s">
        <v>33</v>
      </c>
      <c r="C20" s="18" t="s">
        <v>34</v>
      </c>
      <c r="D20" s="19" t="s">
        <v>35</v>
      </c>
    </row>
    <row r="21" spans="2:4" x14ac:dyDescent="0.3">
      <c r="B21" s="17" t="s">
        <v>36</v>
      </c>
      <c r="C21" s="18" t="s">
        <v>37</v>
      </c>
      <c r="D21" s="19" t="s">
        <v>38</v>
      </c>
    </row>
    <row r="22" spans="2:4" x14ac:dyDescent="0.3">
      <c r="B22" s="17" t="s">
        <v>39</v>
      </c>
      <c r="C22" s="18" t="s">
        <v>40</v>
      </c>
      <c r="D22" s="19" t="s">
        <v>41</v>
      </c>
    </row>
    <row r="23" spans="2:4" x14ac:dyDescent="0.3">
      <c r="B23" s="17" t="s">
        <v>42</v>
      </c>
      <c r="C23" s="18" t="s">
        <v>43</v>
      </c>
      <c r="D23" s="19" t="s">
        <v>44</v>
      </c>
    </row>
    <row r="26" spans="2:4" ht="19.5" customHeight="1" x14ac:dyDescent="0.3">
      <c r="B26" s="12" t="s">
        <v>45</v>
      </c>
      <c r="C26" s="12"/>
      <c r="D26" s="12"/>
    </row>
    <row r="27" spans="2:4" ht="15" customHeight="1" x14ac:dyDescent="0.3">
      <c r="B27" s="20" t="s">
        <v>46</v>
      </c>
      <c r="C27" s="11" t="s">
        <v>47</v>
      </c>
      <c r="D27" s="11"/>
    </row>
    <row r="28" spans="2:4" ht="15" customHeight="1" x14ac:dyDescent="0.3">
      <c r="B28" s="21" t="s">
        <v>48</v>
      </c>
      <c r="C28" s="11" t="s">
        <v>49</v>
      </c>
      <c r="D28" s="11"/>
    </row>
    <row r="29" spans="2:4" ht="15" customHeight="1" x14ac:dyDescent="0.3">
      <c r="B29" s="22" t="s">
        <v>50</v>
      </c>
      <c r="C29" s="11" t="s">
        <v>51</v>
      </c>
      <c r="D29" s="11"/>
    </row>
    <row r="30" spans="2:4" ht="15" customHeight="1" x14ac:dyDescent="0.3">
      <c r="B30" s="23" t="s">
        <v>52</v>
      </c>
      <c r="C30" s="11" t="s">
        <v>53</v>
      </c>
      <c r="D30" s="11"/>
    </row>
    <row r="31" spans="2:4" ht="15" customHeight="1" x14ac:dyDescent="0.3">
      <c r="B31" s="24" t="s">
        <v>54</v>
      </c>
      <c r="C31" s="11" t="s">
        <v>55</v>
      </c>
      <c r="D31" s="11"/>
    </row>
    <row r="34" spans="2:4" ht="19.5" customHeight="1" x14ac:dyDescent="0.3">
      <c r="B34" s="12" t="s">
        <v>56</v>
      </c>
      <c r="C34" s="12"/>
      <c r="D34" s="12"/>
    </row>
    <row r="35" spans="2:4" ht="21.75" customHeight="1" x14ac:dyDescent="0.3">
      <c r="B35" s="10" t="s">
        <v>57</v>
      </c>
      <c r="C35" s="10"/>
      <c r="D35" s="10"/>
    </row>
    <row r="36" spans="2:4" ht="21.75" customHeight="1" x14ac:dyDescent="0.3">
      <c r="B36" s="10"/>
      <c r="C36" s="10"/>
      <c r="D36" s="10"/>
    </row>
    <row r="37" spans="2:4" ht="21.75" customHeight="1" x14ac:dyDescent="0.3">
      <c r="B37" s="10"/>
      <c r="C37" s="10"/>
      <c r="D37" s="10"/>
    </row>
    <row r="38" spans="2:4" ht="21.75" customHeight="1" x14ac:dyDescent="0.3">
      <c r="B38" s="10"/>
      <c r="C38" s="10"/>
      <c r="D38" s="10"/>
    </row>
  </sheetData>
  <mergeCells count="12">
    <mergeCell ref="B34:D34"/>
    <mergeCell ref="B35:D38"/>
    <mergeCell ref="C27:D27"/>
    <mergeCell ref="C28:D28"/>
    <mergeCell ref="C29:D29"/>
    <mergeCell ref="C30:D30"/>
    <mergeCell ref="C31:D31"/>
    <mergeCell ref="B2:D2"/>
    <mergeCell ref="B3:D3"/>
    <mergeCell ref="B4:D4"/>
    <mergeCell ref="B12:D12"/>
    <mergeCell ref="B26:D2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40"/>
  <sheetViews>
    <sheetView topLeftCell="A23" zoomScaleNormal="100" workbookViewId="0"/>
  </sheetViews>
  <sheetFormatPr baseColWidth="10" defaultColWidth="8.6640625" defaultRowHeight="14.4" x14ac:dyDescent="0.3"/>
  <cols>
    <col min="1" max="1" width="3" customWidth="1"/>
    <col min="2" max="2" width="38" customWidth="1"/>
    <col min="3" max="3" width="14" customWidth="1"/>
    <col min="4" max="4" width="16" customWidth="1"/>
    <col min="5" max="5" width="14" customWidth="1"/>
    <col min="6" max="6" width="45" customWidth="1"/>
    <col min="7" max="7" width="3" customWidth="1"/>
  </cols>
  <sheetData>
    <row r="2" spans="2:6" ht="30" customHeight="1" x14ac:dyDescent="0.3">
      <c r="B2" s="14" t="s">
        <v>58</v>
      </c>
      <c r="C2" s="14"/>
      <c r="D2" s="14"/>
      <c r="E2" s="14"/>
      <c r="F2" s="14"/>
    </row>
    <row r="3" spans="2:6" ht="21.75" customHeight="1" x14ac:dyDescent="0.3">
      <c r="B3" s="13" t="s">
        <v>59</v>
      </c>
      <c r="C3" s="13"/>
      <c r="D3" s="13"/>
      <c r="E3" s="13"/>
      <c r="F3" s="13"/>
    </row>
    <row r="5" spans="2:6" ht="19.5" customHeight="1" x14ac:dyDescent="0.3">
      <c r="B5" s="12" t="s">
        <v>60</v>
      </c>
      <c r="C5" s="12"/>
      <c r="D5" s="12"/>
      <c r="E5" s="12"/>
      <c r="F5" s="12"/>
    </row>
    <row r="6" spans="2:6" ht="30" customHeight="1" x14ac:dyDescent="0.3">
      <c r="B6" s="25" t="s">
        <v>61</v>
      </c>
      <c r="C6" s="25" t="s">
        <v>62</v>
      </c>
      <c r="D6" s="25" t="s">
        <v>63</v>
      </c>
      <c r="E6" s="25" t="s">
        <v>64</v>
      </c>
      <c r="F6" s="25" t="s">
        <v>65</v>
      </c>
    </row>
    <row r="7" spans="2:6" ht="18" customHeight="1" x14ac:dyDescent="0.3">
      <c r="B7" s="9" t="s">
        <v>66</v>
      </c>
      <c r="C7" s="9"/>
      <c r="D7" s="9"/>
      <c r="E7" s="9"/>
      <c r="F7" s="9"/>
    </row>
    <row r="8" spans="2:6" ht="21.75" customHeight="1" x14ac:dyDescent="0.3">
      <c r="B8" s="19" t="s">
        <v>67</v>
      </c>
      <c r="C8" s="26">
        <v>0.08</v>
      </c>
      <c r="D8" s="27">
        <v>0.12</v>
      </c>
      <c r="E8" s="26">
        <v>0.18</v>
      </c>
      <c r="F8" s="28" t="s">
        <v>68</v>
      </c>
    </row>
    <row r="9" spans="2:6" ht="21.75" customHeight="1" x14ac:dyDescent="0.3">
      <c r="B9" s="19" t="s">
        <v>69</v>
      </c>
      <c r="C9" s="26">
        <v>0.04</v>
      </c>
      <c r="D9" s="27">
        <v>0.06</v>
      </c>
      <c r="E9" s="26">
        <v>0.09</v>
      </c>
      <c r="F9" s="28" t="s">
        <v>70</v>
      </c>
    </row>
    <row r="10" spans="2:6" ht="21.75" customHeight="1" x14ac:dyDescent="0.3">
      <c r="B10" s="19" t="s">
        <v>71</v>
      </c>
      <c r="C10" s="26">
        <v>0.15</v>
      </c>
      <c r="D10" s="27">
        <v>0.2</v>
      </c>
      <c r="E10" s="26">
        <v>0.28000000000000003</v>
      </c>
      <c r="F10" s="28" t="s">
        <v>72</v>
      </c>
    </row>
    <row r="11" spans="2:6" ht="18" customHeight="1" x14ac:dyDescent="0.3">
      <c r="B11" s="9" t="s">
        <v>73</v>
      </c>
      <c r="C11" s="9"/>
      <c r="D11" s="9"/>
      <c r="E11" s="9"/>
      <c r="F11" s="9"/>
    </row>
    <row r="12" spans="2:6" ht="21.75" customHeight="1" x14ac:dyDescent="0.3">
      <c r="B12" s="19" t="s">
        <v>74</v>
      </c>
      <c r="C12" s="26">
        <v>0.03</v>
      </c>
      <c r="D12" s="27">
        <v>0.05</v>
      </c>
      <c r="E12" s="26">
        <v>0.08</v>
      </c>
      <c r="F12" s="28" t="s">
        <v>75</v>
      </c>
    </row>
    <row r="13" spans="2:6" ht="21.75" customHeight="1" x14ac:dyDescent="0.3">
      <c r="B13" s="19" t="s">
        <v>76</v>
      </c>
      <c r="C13" s="26">
        <v>0.06</v>
      </c>
      <c r="D13" s="27">
        <v>0.08</v>
      </c>
      <c r="E13" s="26">
        <v>0.12</v>
      </c>
      <c r="F13" s="28" t="s">
        <v>77</v>
      </c>
    </row>
    <row r="14" spans="2:6" ht="26.4" x14ac:dyDescent="0.3">
      <c r="B14" s="19" t="s">
        <v>78</v>
      </c>
      <c r="C14" s="26">
        <v>0.05</v>
      </c>
      <c r="D14" s="27">
        <v>7.0000000000000007E-2</v>
      </c>
      <c r="E14" s="26">
        <v>0.1</v>
      </c>
      <c r="F14" s="28" t="s">
        <v>79</v>
      </c>
    </row>
    <row r="15" spans="2:6" ht="18" customHeight="1" x14ac:dyDescent="0.3">
      <c r="B15" s="9" t="s">
        <v>80</v>
      </c>
      <c r="C15" s="9"/>
      <c r="D15" s="9"/>
      <c r="E15" s="9"/>
      <c r="F15" s="9"/>
    </row>
    <row r="16" spans="2:6" ht="21.75" customHeight="1" x14ac:dyDescent="0.3">
      <c r="B16" s="19" t="s">
        <v>81</v>
      </c>
      <c r="C16" s="26">
        <v>0.04</v>
      </c>
      <c r="D16" s="27">
        <v>0.06</v>
      </c>
      <c r="E16" s="26">
        <v>0.1</v>
      </c>
      <c r="F16" s="28" t="s">
        <v>82</v>
      </c>
    </row>
    <row r="17" spans="2:6" ht="21.75" customHeight="1" x14ac:dyDescent="0.3">
      <c r="B17" s="19" t="s">
        <v>83</v>
      </c>
      <c r="C17" s="26">
        <v>0.04</v>
      </c>
      <c r="D17" s="27">
        <v>0.06</v>
      </c>
      <c r="E17" s="26">
        <v>0.09</v>
      </c>
      <c r="F17" s="28" t="s">
        <v>84</v>
      </c>
    </row>
    <row r="18" spans="2:6" ht="18" customHeight="1" x14ac:dyDescent="0.3">
      <c r="B18" s="9" t="s">
        <v>85</v>
      </c>
      <c r="C18" s="9"/>
      <c r="D18" s="9"/>
      <c r="E18" s="9"/>
      <c r="F18" s="9"/>
    </row>
    <row r="19" spans="2:6" ht="21.75" customHeight="1" x14ac:dyDescent="0.3">
      <c r="B19" s="19" t="s">
        <v>86</v>
      </c>
      <c r="C19" s="26">
        <v>1.4999999999999999E-2</v>
      </c>
      <c r="D19" s="27">
        <v>0.02</v>
      </c>
      <c r="E19" s="26">
        <v>2.5000000000000001E-2</v>
      </c>
      <c r="F19" s="28" t="s">
        <v>87</v>
      </c>
    </row>
    <row r="20" spans="2:6" ht="21.75" customHeight="1" x14ac:dyDescent="0.3">
      <c r="B20" s="19" t="s">
        <v>88</v>
      </c>
      <c r="C20" s="26">
        <v>0.02</v>
      </c>
      <c r="D20" s="27">
        <v>2.5000000000000001E-2</v>
      </c>
      <c r="E20" s="26">
        <v>0.03</v>
      </c>
      <c r="F20" s="28" t="s">
        <v>89</v>
      </c>
    </row>
    <row r="21" spans="2:6" ht="21.75" customHeight="1" x14ac:dyDescent="0.3">
      <c r="B21" s="19" t="s">
        <v>90</v>
      </c>
      <c r="C21" s="26">
        <v>2.5000000000000001E-2</v>
      </c>
      <c r="D21" s="27">
        <v>3.5000000000000003E-2</v>
      </c>
      <c r="E21" s="26">
        <v>4.4999999999999998E-2</v>
      </c>
      <c r="F21" s="28" t="s">
        <v>91</v>
      </c>
    </row>
    <row r="22" spans="2:6" ht="21.75" customHeight="1" x14ac:dyDescent="0.3">
      <c r="B22" s="19" t="s">
        <v>92</v>
      </c>
      <c r="C22" s="26">
        <v>0.03</v>
      </c>
      <c r="D22" s="27">
        <v>4.4999999999999998E-2</v>
      </c>
      <c r="E22" s="26">
        <v>0.06</v>
      </c>
      <c r="F22" s="28" t="s">
        <v>93</v>
      </c>
    </row>
    <row r="23" spans="2:6" ht="18" customHeight="1" x14ac:dyDescent="0.3">
      <c r="B23" s="9" t="s">
        <v>94</v>
      </c>
      <c r="C23" s="9"/>
      <c r="D23" s="9"/>
      <c r="E23" s="9"/>
      <c r="F23" s="9"/>
    </row>
    <row r="24" spans="2:6" ht="26.4" x14ac:dyDescent="0.3">
      <c r="B24" s="19" t="s">
        <v>95</v>
      </c>
      <c r="C24" s="26">
        <v>5.0000000000000001E-3</v>
      </c>
      <c r="D24" s="27">
        <v>0.01</v>
      </c>
      <c r="E24" s="26">
        <v>1.4999999999999999E-2</v>
      </c>
      <c r="F24" s="28" t="s">
        <v>96</v>
      </c>
    </row>
    <row r="25" spans="2:6" ht="26.4" x14ac:dyDescent="0.3">
      <c r="B25" s="19" t="s">
        <v>97</v>
      </c>
      <c r="C25" s="26">
        <v>1.4999999999999999E-2</v>
      </c>
      <c r="D25" s="27">
        <v>0.02</v>
      </c>
      <c r="E25" s="26">
        <v>0.03</v>
      </c>
      <c r="F25" s="28" t="s">
        <v>98</v>
      </c>
    </row>
    <row r="26" spans="2:6" ht="26.4" x14ac:dyDescent="0.3">
      <c r="B26" s="19" t="s">
        <v>99</v>
      </c>
      <c r="C26" s="26">
        <v>0.02</v>
      </c>
      <c r="D26" s="27">
        <v>2.5000000000000001E-2</v>
      </c>
      <c r="E26" s="26">
        <v>3.5000000000000003E-2</v>
      </c>
      <c r="F26" s="28" t="s">
        <v>100</v>
      </c>
    </row>
    <row r="27" spans="2:6" ht="26.4" x14ac:dyDescent="0.3">
      <c r="B27" s="19" t="s">
        <v>101</v>
      </c>
      <c r="C27" s="26">
        <v>2.5000000000000001E-2</v>
      </c>
      <c r="D27" s="27">
        <v>0.03</v>
      </c>
      <c r="E27" s="26">
        <v>0.04</v>
      </c>
      <c r="F27" s="28" t="s">
        <v>102</v>
      </c>
    </row>
    <row r="28" spans="2:6" ht="26.4" x14ac:dyDescent="0.3">
      <c r="B28" s="19" t="s">
        <v>103</v>
      </c>
      <c r="C28" s="26">
        <v>0.04</v>
      </c>
      <c r="D28" s="27">
        <v>5.5E-2</v>
      </c>
      <c r="E28" s="26">
        <v>7.4999999999999997E-2</v>
      </c>
      <c r="F28" s="28" t="s">
        <v>104</v>
      </c>
    </row>
    <row r="29" spans="2:6" ht="21.75" customHeight="1" x14ac:dyDescent="0.3">
      <c r="B29" s="19" t="s">
        <v>105</v>
      </c>
      <c r="C29" s="26">
        <v>1.4999999999999999E-2</v>
      </c>
      <c r="D29" s="27">
        <v>2.5000000000000001E-2</v>
      </c>
      <c r="E29" s="26">
        <v>0.04</v>
      </c>
      <c r="F29" s="28" t="s">
        <v>106</v>
      </c>
    </row>
    <row r="30" spans="2:6" ht="18" customHeight="1" x14ac:dyDescent="0.3">
      <c r="B30" s="9" t="s">
        <v>107</v>
      </c>
      <c r="C30" s="9"/>
      <c r="D30" s="9"/>
      <c r="E30" s="9"/>
      <c r="F30" s="9"/>
    </row>
    <row r="31" spans="2:6" ht="21.75" customHeight="1" x14ac:dyDescent="0.3">
      <c r="B31" s="19" t="s">
        <v>108</v>
      </c>
      <c r="C31" s="26">
        <v>7.0000000000000007E-2</v>
      </c>
      <c r="D31" s="27">
        <v>0.1</v>
      </c>
      <c r="E31" s="26">
        <v>0.13</v>
      </c>
      <c r="F31" s="28" t="s">
        <v>109</v>
      </c>
    </row>
    <row r="32" spans="2:6" ht="21.75" customHeight="1" x14ac:dyDescent="0.3">
      <c r="B32" s="19" t="s">
        <v>110</v>
      </c>
      <c r="C32" s="26">
        <v>0.04</v>
      </c>
      <c r="D32" s="27">
        <v>0.06</v>
      </c>
      <c r="E32" s="26">
        <v>0.09</v>
      </c>
      <c r="F32" s="28" t="s">
        <v>111</v>
      </c>
    </row>
    <row r="33" spans="2:6" ht="21.75" customHeight="1" x14ac:dyDescent="0.3">
      <c r="B33" s="19" t="s">
        <v>112</v>
      </c>
      <c r="C33" s="26">
        <v>0.06</v>
      </c>
      <c r="D33" s="27">
        <v>0.08</v>
      </c>
      <c r="E33" s="26">
        <v>0.11</v>
      </c>
      <c r="F33" s="28" t="s">
        <v>113</v>
      </c>
    </row>
    <row r="36" spans="2:6" ht="19.5" customHeight="1" x14ac:dyDescent="0.3">
      <c r="B36" s="12" t="s">
        <v>114</v>
      </c>
      <c r="C36" s="12"/>
      <c r="D36" s="12"/>
      <c r="E36" s="12"/>
      <c r="F36" s="12"/>
    </row>
    <row r="37" spans="2:6" ht="19.5" customHeight="1" x14ac:dyDescent="0.3">
      <c r="B37" s="10" t="s">
        <v>115</v>
      </c>
      <c r="C37" s="10"/>
      <c r="D37" s="10"/>
      <c r="E37" s="10"/>
      <c r="F37" s="10"/>
    </row>
    <row r="38" spans="2:6" ht="19.5" customHeight="1" x14ac:dyDescent="0.3">
      <c r="B38" s="10"/>
      <c r="C38" s="10"/>
      <c r="D38" s="10"/>
      <c r="E38" s="10"/>
      <c r="F38" s="10"/>
    </row>
    <row r="39" spans="2:6" ht="19.5" customHeight="1" x14ac:dyDescent="0.3">
      <c r="B39" s="10"/>
      <c r="C39" s="10"/>
      <c r="D39" s="10"/>
      <c r="E39" s="10"/>
      <c r="F39" s="10"/>
    </row>
    <row r="40" spans="2:6" ht="34.799999999999997" customHeight="1" x14ac:dyDescent="0.3">
      <c r="B40" s="10"/>
      <c r="C40" s="10"/>
      <c r="D40" s="10"/>
      <c r="E40" s="10"/>
      <c r="F40" s="10"/>
    </row>
  </sheetData>
  <mergeCells count="11">
    <mergeCell ref="B37:F40"/>
    <mergeCell ref="B15:F15"/>
    <mergeCell ref="B18:F18"/>
    <mergeCell ref="B23:F23"/>
    <mergeCell ref="B30:F30"/>
    <mergeCell ref="B36:F36"/>
    <mergeCell ref="B2:F2"/>
    <mergeCell ref="B3:F3"/>
    <mergeCell ref="B5:F5"/>
    <mergeCell ref="B7:F7"/>
    <mergeCell ref="B11:F1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H49"/>
  <sheetViews>
    <sheetView topLeftCell="A29" zoomScaleNormal="100" workbookViewId="0"/>
  </sheetViews>
  <sheetFormatPr baseColWidth="10" defaultColWidth="8.6640625" defaultRowHeight="14.4" x14ac:dyDescent="0.3"/>
  <cols>
    <col min="1" max="1" width="3" customWidth="1"/>
    <col min="2" max="3" width="18" customWidth="1"/>
    <col min="4" max="7" width="14" customWidth="1"/>
    <col min="8" max="8" width="35" customWidth="1"/>
  </cols>
  <sheetData>
    <row r="2" spans="2:8" ht="30" customHeight="1" x14ac:dyDescent="0.3">
      <c r="B2" s="14" t="s">
        <v>66</v>
      </c>
      <c r="C2" s="14"/>
      <c r="D2" s="14"/>
      <c r="E2" s="14"/>
      <c r="F2" s="14"/>
      <c r="G2" s="14"/>
      <c r="H2" s="14"/>
    </row>
    <row r="3" spans="2:8" ht="21.75" customHeight="1" x14ac:dyDescent="0.3">
      <c r="B3" s="13" t="s">
        <v>116</v>
      </c>
      <c r="C3" s="13"/>
      <c r="D3" s="13"/>
      <c r="E3" s="13"/>
      <c r="F3" s="13"/>
      <c r="G3" s="13"/>
      <c r="H3" s="13"/>
    </row>
    <row r="5" spans="2:8" ht="19.5" customHeight="1" x14ac:dyDescent="0.3">
      <c r="B5" s="12" t="s">
        <v>117</v>
      </c>
      <c r="C5" s="12"/>
      <c r="D5" s="12"/>
      <c r="E5" s="12"/>
      <c r="F5" s="12"/>
      <c r="G5" s="12"/>
      <c r="H5" s="12"/>
    </row>
    <row r="6" spans="2:8" ht="30" customHeight="1" x14ac:dyDescent="0.3">
      <c r="B6" s="25" t="s">
        <v>118</v>
      </c>
      <c r="C6" s="25" t="s">
        <v>119</v>
      </c>
      <c r="D6" s="25" t="s">
        <v>120</v>
      </c>
      <c r="E6" s="25" t="s">
        <v>121</v>
      </c>
      <c r="F6" s="25" t="s">
        <v>122</v>
      </c>
      <c r="G6" s="25" t="s">
        <v>123</v>
      </c>
      <c r="H6" s="25" t="s">
        <v>124</v>
      </c>
    </row>
    <row r="7" spans="2:8" ht="18" customHeight="1" x14ac:dyDescent="0.3">
      <c r="B7" s="29">
        <v>1220</v>
      </c>
      <c r="C7" s="29" t="s">
        <v>125</v>
      </c>
      <c r="D7" s="29">
        <v>2440</v>
      </c>
      <c r="E7" s="29">
        <v>3050</v>
      </c>
      <c r="F7" s="29" t="s">
        <v>126</v>
      </c>
      <c r="G7" s="19" t="s">
        <v>127</v>
      </c>
      <c r="H7" s="19" t="s">
        <v>128</v>
      </c>
    </row>
    <row r="8" spans="2:8" ht="18" customHeight="1" x14ac:dyDescent="0.3">
      <c r="B8" s="29">
        <v>1500</v>
      </c>
      <c r="C8" s="29" t="s">
        <v>129</v>
      </c>
      <c r="D8" s="29">
        <v>6000</v>
      </c>
      <c r="E8" s="29">
        <v>12000</v>
      </c>
      <c r="F8" s="29" t="s">
        <v>126</v>
      </c>
      <c r="G8" s="19" t="s">
        <v>130</v>
      </c>
      <c r="H8" s="19" t="s">
        <v>131</v>
      </c>
    </row>
    <row r="9" spans="2:8" ht="18" customHeight="1" x14ac:dyDescent="0.3">
      <c r="B9" s="29">
        <v>1830</v>
      </c>
      <c r="C9" s="29" t="s">
        <v>132</v>
      </c>
      <c r="D9" s="29">
        <v>6000</v>
      </c>
      <c r="E9" s="29">
        <v>12000</v>
      </c>
      <c r="F9" s="29" t="s">
        <v>126</v>
      </c>
      <c r="G9" s="19" t="s">
        <v>127</v>
      </c>
      <c r="H9" s="19" t="s">
        <v>133</v>
      </c>
    </row>
    <row r="10" spans="2:8" ht="18" customHeight="1" x14ac:dyDescent="0.3">
      <c r="B10" s="29">
        <v>2000</v>
      </c>
      <c r="C10" s="29" t="s">
        <v>134</v>
      </c>
      <c r="D10" s="29">
        <v>6000</v>
      </c>
      <c r="E10" s="29">
        <v>12000</v>
      </c>
      <c r="F10" s="29" t="s">
        <v>135</v>
      </c>
      <c r="G10" s="19" t="s">
        <v>136</v>
      </c>
      <c r="H10" s="19" t="s">
        <v>137</v>
      </c>
    </row>
    <row r="11" spans="2:8" ht="18" customHeight="1" x14ac:dyDescent="0.3">
      <c r="B11" s="29">
        <v>2440</v>
      </c>
      <c r="C11" s="29" t="s">
        <v>138</v>
      </c>
      <c r="D11" s="29">
        <v>6000</v>
      </c>
      <c r="E11" s="29">
        <v>12000</v>
      </c>
      <c r="F11" s="29" t="s">
        <v>139</v>
      </c>
      <c r="G11" s="19" t="s">
        <v>127</v>
      </c>
      <c r="H11" s="19" t="s">
        <v>140</v>
      </c>
    </row>
    <row r="12" spans="2:8" ht="26.4" x14ac:dyDescent="0.3">
      <c r="B12" s="29">
        <v>3000</v>
      </c>
      <c r="C12" s="29" t="s">
        <v>141</v>
      </c>
      <c r="D12" s="29">
        <v>6000</v>
      </c>
      <c r="E12" s="29">
        <v>12000</v>
      </c>
      <c r="F12" s="29" t="s">
        <v>142</v>
      </c>
      <c r="G12" s="19" t="s">
        <v>143</v>
      </c>
      <c r="H12" s="19" t="s">
        <v>144</v>
      </c>
    </row>
    <row r="13" spans="2:8" ht="26.4" x14ac:dyDescent="0.3">
      <c r="B13" s="29">
        <v>3200</v>
      </c>
      <c r="C13" s="29" t="s">
        <v>145</v>
      </c>
      <c r="D13" s="29">
        <v>6000</v>
      </c>
      <c r="E13" s="29">
        <v>12000</v>
      </c>
      <c r="F13" s="29" t="s">
        <v>142</v>
      </c>
      <c r="G13" s="19" t="s">
        <v>143</v>
      </c>
      <c r="H13" s="19" t="s">
        <v>146</v>
      </c>
    </row>
    <row r="16" spans="2:8" ht="19.5" customHeight="1" x14ac:dyDescent="0.3">
      <c r="B16" s="12" t="s">
        <v>147</v>
      </c>
      <c r="C16" s="12"/>
      <c r="D16" s="12"/>
      <c r="E16" s="12"/>
      <c r="F16" s="12"/>
      <c r="G16" s="12"/>
      <c r="H16" s="12"/>
    </row>
    <row r="17" spans="2:8" ht="30" customHeight="1" x14ac:dyDescent="0.3">
      <c r="B17" s="25" t="s">
        <v>148</v>
      </c>
      <c r="C17" s="25" t="s">
        <v>149</v>
      </c>
      <c r="D17" s="25" t="s">
        <v>150</v>
      </c>
      <c r="E17" s="25" t="s">
        <v>151</v>
      </c>
      <c r="F17" s="25" t="s">
        <v>152</v>
      </c>
      <c r="G17" s="25" t="s">
        <v>153</v>
      </c>
      <c r="H17" s="25" t="s">
        <v>154</v>
      </c>
    </row>
    <row r="18" spans="2:8" x14ac:dyDescent="0.3">
      <c r="B18" s="8" t="s">
        <v>155</v>
      </c>
      <c r="C18" s="8"/>
      <c r="D18" s="8"/>
      <c r="E18" s="8"/>
      <c r="F18" s="8"/>
      <c r="G18" s="8"/>
      <c r="H18" s="8"/>
    </row>
    <row r="19" spans="2:8" ht="26.4" x14ac:dyDescent="0.3">
      <c r="B19" s="19" t="s">
        <v>156</v>
      </c>
      <c r="C19" s="19" t="s">
        <v>157</v>
      </c>
      <c r="D19" s="30">
        <v>0.05</v>
      </c>
      <c r="E19" s="27">
        <v>0.08</v>
      </c>
      <c r="F19" s="30">
        <v>0.12</v>
      </c>
      <c r="G19" s="29" t="s">
        <v>126</v>
      </c>
      <c r="H19" s="31"/>
    </row>
    <row r="20" spans="2:8" ht="18" customHeight="1" x14ac:dyDescent="0.3">
      <c r="B20" s="19" t="s">
        <v>158</v>
      </c>
      <c r="C20" s="19" t="s">
        <v>159</v>
      </c>
      <c r="D20" s="30">
        <v>0.1</v>
      </c>
      <c r="E20" s="27">
        <v>0.14000000000000001</v>
      </c>
      <c r="F20" s="30">
        <v>0.2</v>
      </c>
      <c r="G20" s="29" t="s">
        <v>126</v>
      </c>
      <c r="H20" s="31"/>
    </row>
    <row r="21" spans="2:8" ht="26.4" x14ac:dyDescent="0.3">
      <c r="B21" s="19" t="s">
        <v>160</v>
      </c>
      <c r="C21" s="19" t="s">
        <v>161</v>
      </c>
      <c r="D21" s="30">
        <v>0.12</v>
      </c>
      <c r="E21" s="27">
        <v>0.18</v>
      </c>
      <c r="F21" s="30">
        <v>0.25</v>
      </c>
      <c r="G21" s="29" t="s">
        <v>135</v>
      </c>
      <c r="H21" s="31"/>
    </row>
    <row r="22" spans="2:8" ht="26.4" x14ac:dyDescent="0.3">
      <c r="B22" s="19" t="s">
        <v>162</v>
      </c>
      <c r="C22" s="19" t="s">
        <v>163</v>
      </c>
      <c r="D22" s="30">
        <v>0.1</v>
      </c>
      <c r="E22" s="27">
        <v>0.15</v>
      </c>
      <c r="F22" s="30">
        <v>0.22</v>
      </c>
      <c r="G22" s="29" t="s">
        <v>139</v>
      </c>
      <c r="H22" s="31"/>
    </row>
    <row r="23" spans="2:8" x14ac:dyDescent="0.3">
      <c r="B23" s="8" t="s">
        <v>164</v>
      </c>
      <c r="C23" s="8"/>
      <c r="D23" s="8"/>
      <c r="E23" s="8"/>
      <c r="F23" s="8"/>
      <c r="G23" s="8"/>
      <c r="H23" s="8"/>
    </row>
    <row r="24" spans="2:8" ht="26.4" x14ac:dyDescent="0.3">
      <c r="B24" s="19" t="s">
        <v>165</v>
      </c>
      <c r="C24" s="19" t="s">
        <v>166</v>
      </c>
      <c r="D24" s="30">
        <v>0.18</v>
      </c>
      <c r="E24" s="27">
        <v>0.25</v>
      </c>
      <c r="F24" s="30">
        <v>0.35</v>
      </c>
      <c r="G24" s="29" t="s">
        <v>126</v>
      </c>
      <c r="H24" s="31"/>
    </row>
    <row r="25" spans="2:8" ht="26.4" x14ac:dyDescent="0.3">
      <c r="B25" s="19" t="s">
        <v>167</v>
      </c>
      <c r="C25" s="19" t="s">
        <v>168</v>
      </c>
      <c r="D25" s="30">
        <v>0.15</v>
      </c>
      <c r="E25" s="27">
        <v>0.22</v>
      </c>
      <c r="F25" s="30">
        <v>0.3</v>
      </c>
      <c r="G25" s="29" t="s">
        <v>126</v>
      </c>
      <c r="H25" s="31"/>
    </row>
    <row r="26" spans="2:8" ht="26.4" x14ac:dyDescent="0.3">
      <c r="B26" s="19" t="s">
        <v>169</v>
      </c>
      <c r="C26" s="19" t="s">
        <v>170</v>
      </c>
      <c r="D26" s="30">
        <v>0.2</v>
      </c>
      <c r="E26" s="27">
        <v>0.28000000000000003</v>
      </c>
      <c r="F26" s="30">
        <v>0.4</v>
      </c>
      <c r="G26" s="29" t="s">
        <v>135</v>
      </c>
      <c r="H26" s="31"/>
    </row>
    <row r="27" spans="2:8" ht="26.4" x14ac:dyDescent="0.3">
      <c r="B27" s="19" t="s">
        <v>171</v>
      </c>
      <c r="C27" s="19" t="s">
        <v>172</v>
      </c>
      <c r="D27" s="30">
        <v>0.12</v>
      </c>
      <c r="E27" s="27">
        <v>0.18</v>
      </c>
      <c r="F27" s="30">
        <v>0.28000000000000003</v>
      </c>
      <c r="G27" s="29" t="s">
        <v>135</v>
      </c>
      <c r="H27" s="31"/>
    </row>
    <row r="28" spans="2:8" ht="26.4" x14ac:dyDescent="0.3">
      <c r="B28" s="19" t="s">
        <v>173</v>
      </c>
      <c r="C28" s="19" t="s">
        <v>174</v>
      </c>
      <c r="D28" s="30">
        <v>0.06</v>
      </c>
      <c r="E28" s="27">
        <v>0.1</v>
      </c>
      <c r="F28" s="30">
        <v>0.15</v>
      </c>
      <c r="G28" s="29" t="s">
        <v>126</v>
      </c>
      <c r="H28" s="31"/>
    </row>
    <row r="31" spans="2:8" ht="19.5" customHeight="1" x14ac:dyDescent="0.3">
      <c r="B31" s="12" t="s">
        <v>175</v>
      </c>
      <c r="C31" s="12"/>
      <c r="D31" s="12"/>
      <c r="E31" s="12"/>
      <c r="F31" s="12"/>
      <c r="G31" s="12"/>
      <c r="H31" s="12"/>
    </row>
    <row r="32" spans="2:8" ht="30" customHeight="1" x14ac:dyDescent="0.3">
      <c r="B32" s="25" t="s">
        <v>176</v>
      </c>
      <c r="C32" s="25" t="s">
        <v>177</v>
      </c>
      <c r="D32" s="25" t="s">
        <v>178</v>
      </c>
      <c r="E32" s="25" t="s">
        <v>179</v>
      </c>
      <c r="F32" s="25" t="s">
        <v>150</v>
      </c>
      <c r="G32" s="25" t="s">
        <v>151</v>
      </c>
      <c r="H32" s="25" t="s">
        <v>152</v>
      </c>
    </row>
    <row r="33" spans="2:8" ht="26.4" x14ac:dyDescent="0.3">
      <c r="B33" s="19" t="s">
        <v>180</v>
      </c>
      <c r="C33" s="32">
        <v>0.7</v>
      </c>
      <c r="D33" s="32">
        <v>0.25</v>
      </c>
      <c r="E33" s="32">
        <v>0.05</v>
      </c>
      <c r="F33" s="30">
        <v>7.0000000000000007E-2</v>
      </c>
      <c r="G33" s="27">
        <v>0.1</v>
      </c>
      <c r="H33" s="30">
        <v>0.15</v>
      </c>
    </row>
    <row r="34" spans="2:8" ht="26.4" x14ac:dyDescent="0.3">
      <c r="B34" s="19" t="s">
        <v>181</v>
      </c>
      <c r="C34" s="32">
        <v>0.75</v>
      </c>
      <c r="D34" s="32">
        <v>0.2</v>
      </c>
      <c r="E34" s="32">
        <v>0.05</v>
      </c>
      <c r="F34" s="30">
        <v>0.06</v>
      </c>
      <c r="G34" s="27">
        <v>0.09</v>
      </c>
      <c r="H34" s="30">
        <v>0.14000000000000001</v>
      </c>
    </row>
    <row r="35" spans="2:8" ht="26.4" x14ac:dyDescent="0.3">
      <c r="B35" s="19" t="s">
        <v>182</v>
      </c>
      <c r="C35" s="32">
        <v>0.65</v>
      </c>
      <c r="D35" s="32">
        <v>0.25</v>
      </c>
      <c r="E35" s="32">
        <v>0.1</v>
      </c>
      <c r="F35" s="30">
        <v>0.08</v>
      </c>
      <c r="G35" s="27">
        <v>0.12</v>
      </c>
      <c r="H35" s="30">
        <v>0.17</v>
      </c>
    </row>
    <row r="36" spans="2:8" ht="26.4" x14ac:dyDescent="0.3">
      <c r="B36" s="19" t="s">
        <v>183</v>
      </c>
      <c r="C36" s="32">
        <v>0.55000000000000004</v>
      </c>
      <c r="D36" s="32">
        <v>0.3</v>
      </c>
      <c r="E36" s="32">
        <v>0.15</v>
      </c>
      <c r="F36" s="30">
        <v>0.1</v>
      </c>
      <c r="G36" s="27">
        <v>0.14000000000000001</v>
      </c>
      <c r="H36" s="30">
        <v>0.2</v>
      </c>
    </row>
    <row r="37" spans="2:8" ht="26.4" x14ac:dyDescent="0.3">
      <c r="B37" s="19" t="s">
        <v>184</v>
      </c>
      <c r="C37" s="32">
        <v>0.4</v>
      </c>
      <c r="D37" s="32">
        <v>0.25</v>
      </c>
      <c r="E37" s="32">
        <v>0.35</v>
      </c>
      <c r="F37" s="30">
        <v>0.12</v>
      </c>
      <c r="G37" s="27">
        <v>0.18</v>
      </c>
      <c r="H37" s="30">
        <v>0.25</v>
      </c>
    </row>
    <row r="38" spans="2:8" ht="19.5" customHeight="1" x14ac:dyDescent="0.3">
      <c r="B38" s="19" t="s">
        <v>185</v>
      </c>
      <c r="C38" s="32">
        <v>0.8</v>
      </c>
      <c r="D38" s="32">
        <v>0.1</v>
      </c>
      <c r="E38" s="32">
        <v>0.1</v>
      </c>
      <c r="F38" s="30">
        <v>0.08</v>
      </c>
      <c r="G38" s="27">
        <v>0.12</v>
      </c>
      <c r="H38" s="30">
        <v>0.18</v>
      </c>
    </row>
    <row r="41" spans="2:8" ht="19.5" customHeight="1" x14ac:dyDescent="0.3">
      <c r="B41" s="12" t="s">
        <v>186</v>
      </c>
      <c r="C41" s="12"/>
      <c r="D41" s="12"/>
      <c r="E41" s="12"/>
      <c r="F41" s="12"/>
      <c r="G41" s="12"/>
      <c r="H41" s="12"/>
    </row>
    <row r="42" spans="2:8" ht="15" customHeight="1" x14ac:dyDescent="0.3">
      <c r="B42" s="7" t="s">
        <v>187</v>
      </c>
      <c r="C42" s="7"/>
      <c r="D42" s="7"/>
      <c r="E42" s="7"/>
      <c r="F42" s="7"/>
      <c r="G42" s="7"/>
      <c r="H42" s="7"/>
    </row>
    <row r="43" spans="2:8" ht="15" customHeight="1" x14ac:dyDescent="0.3">
      <c r="B43" s="7" t="s">
        <v>188</v>
      </c>
      <c r="C43" s="7"/>
      <c r="D43" s="7"/>
      <c r="E43" s="7"/>
      <c r="F43" s="7"/>
      <c r="G43" s="7"/>
      <c r="H43" s="7"/>
    </row>
    <row r="44" spans="2:8" ht="15" customHeight="1" x14ac:dyDescent="0.3">
      <c r="B44" s="7" t="s">
        <v>189</v>
      </c>
      <c r="C44" s="7"/>
      <c r="D44" s="7"/>
      <c r="E44" s="7"/>
      <c r="F44" s="7"/>
      <c r="G44" s="7"/>
      <c r="H44" s="7"/>
    </row>
    <row r="45" spans="2:8" ht="15" customHeight="1" x14ac:dyDescent="0.3">
      <c r="B45" s="7" t="s">
        <v>190</v>
      </c>
      <c r="C45" s="7"/>
      <c r="D45" s="7"/>
      <c r="E45" s="7"/>
      <c r="F45" s="7"/>
      <c r="G45" s="7"/>
      <c r="H45" s="7"/>
    </row>
    <row r="46" spans="2:8" ht="15" customHeight="1" x14ac:dyDescent="0.3">
      <c r="B46" s="7" t="s">
        <v>191</v>
      </c>
      <c r="C46" s="7"/>
      <c r="D46" s="7"/>
      <c r="E46" s="7"/>
      <c r="F46" s="7"/>
      <c r="G46" s="7"/>
      <c r="H46" s="7"/>
    </row>
    <row r="47" spans="2:8" ht="15" customHeight="1" x14ac:dyDescent="0.3">
      <c r="B47" s="7" t="s">
        <v>192</v>
      </c>
      <c r="C47" s="7"/>
      <c r="D47" s="7"/>
      <c r="E47" s="7"/>
      <c r="F47" s="7"/>
      <c r="G47" s="7"/>
      <c r="H47" s="7"/>
    </row>
    <row r="48" spans="2:8" ht="22.35" customHeight="1" x14ac:dyDescent="0.3">
      <c r="B48" s="7" t="s">
        <v>193</v>
      </c>
      <c r="C48" s="7"/>
      <c r="D48" s="7"/>
      <c r="E48" s="7"/>
      <c r="F48" s="7"/>
      <c r="G48" s="7"/>
      <c r="H48" s="7"/>
    </row>
    <row r="49" spans="2:8" ht="22.35" customHeight="1" x14ac:dyDescent="0.3">
      <c r="B49" s="7" t="s">
        <v>194</v>
      </c>
      <c r="C49" s="7"/>
      <c r="D49" s="7"/>
      <c r="E49" s="7"/>
      <c r="F49" s="7"/>
      <c r="G49" s="7"/>
      <c r="H49" s="7"/>
    </row>
  </sheetData>
  <mergeCells count="16">
    <mergeCell ref="B49:H49"/>
    <mergeCell ref="B44:H44"/>
    <mergeCell ref="B45:H45"/>
    <mergeCell ref="B46:H46"/>
    <mergeCell ref="B47:H47"/>
    <mergeCell ref="B48:H48"/>
    <mergeCell ref="B23:H23"/>
    <mergeCell ref="B31:H31"/>
    <mergeCell ref="B41:H41"/>
    <mergeCell ref="B42:H42"/>
    <mergeCell ref="B43:H43"/>
    <mergeCell ref="B2:H2"/>
    <mergeCell ref="B3:H3"/>
    <mergeCell ref="B5:H5"/>
    <mergeCell ref="B16:H16"/>
    <mergeCell ref="B18:H18"/>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H36"/>
  <sheetViews>
    <sheetView topLeftCell="A13" zoomScaleNormal="100" workbookViewId="0"/>
  </sheetViews>
  <sheetFormatPr baseColWidth="10" defaultColWidth="8.6640625" defaultRowHeight="14.4" x14ac:dyDescent="0.3"/>
  <cols>
    <col min="1" max="1" width="3" customWidth="1"/>
    <col min="2" max="2" width="22" customWidth="1"/>
    <col min="3" max="3" width="16" customWidth="1"/>
    <col min="4" max="7" width="14" customWidth="1"/>
    <col min="8" max="8" width="35" customWidth="1"/>
  </cols>
  <sheetData>
    <row r="2" spans="2:8" ht="30" customHeight="1" x14ac:dyDescent="0.3">
      <c r="B2" s="14" t="s">
        <v>195</v>
      </c>
      <c r="C2" s="14"/>
      <c r="D2" s="14"/>
      <c r="E2" s="14"/>
      <c r="F2" s="14"/>
      <c r="G2" s="14"/>
      <c r="H2" s="14"/>
    </row>
    <row r="3" spans="2:8" ht="21.75" customHeight="1" x14ac:dyDescent="0.3">
      <c r="B3" s="13" t="s">
        <v>196</v>
      </c>
      <c r="C3" s="13"/>
      <c r="D3" s="13"/>
      <c r="E3" s="13"/>
      <c r="F3" s="13"/>
      <c r="G3" s="13"/>
      <c r="H3" s="13"/>
    </row>
    <row r="5" spans="2:8" ht="19.5" customHeight="1" x14ac:dyDescent="0.3">
      <c r="B5" s="12" t="s">
        <v>197</v>
      </c>
      <c r="C5" s="12"/>
      <c r="D5" s="12"/>
      <c r="E5" s="12"/>
      <c r="F5" s="12"/>
      <c r="G5" s="12"/>
      <c r="H5" s="12"/>
    </row>
    <row r="6" spans="2:8" ht="30" customHeight="1" x14ac:dyDescent="0.3">
      <c r="B6" s="25" t="s">
        <v>198</v>
      </c>
      <c r="C6" s="25" t="s">
        <v>199</v>
      </c>
      <c r="D6" s="25" t="s">
        <v>200</v>
      </c>
      <c r="E6" s="25" t="s">
        <v>201</v>
      </c>
      <c r="F6" s="25" t="s">
        <v>122</v>
      </c>
      <c r="G6" s="25" t="s">
        <v>202</v>
      </c>
      <c r="H6" s="25" t="s">
        <v>124</v>
      </c>
    </row>
    <row r="7" spans="2:8" ht="26.4" x14ac:dyDescent="0.3">
      <c r="B7" s="19" t="s">
        <v>203</v>
      </c>
      <c r="C7" s="19" t="s">
        <v>204</v>
      </c>
      <c r="D7" s="29">
        <v>12</v>
      </c>
      <c r="E7" s="29">
        <v>18</v>
      </c>
      <c r="F7" s="29" t="s">
        <v>126</v>
      </c>
      <c r="G7" s="29" t="s">
        <v>205</v>
      </c>
      <c r="H7" s="19" t="s">
        <v>206</v>
      </c>
    </row>
    <row r="8" spans="2:8" ht="26.4" x14ac:dyDescent="0.3">
      <c r="B8" s="19" t="s">
        <v>207</v>
      </c>
      <c r="C8" s="19" t="s">
        <v>208</v>
      </c>
      <c r="D8" s="29">
        <v>6</v>
      </c>
      <c r="E8" s="29">
        <v>12</v>
      </c>
      <c r="F8" s="29" t="s">
        <v>126</v>
      </c>
      <c r="G8" s="29" t="s">
        <v>209</v>
      </c>
      <c r="H8" s="19" t="s">
        <v>210</v>
      </c>
    </row>
    <row r="9" spans="2:8" ht="26.4" x14ac:dyDescent="0.3">
      <c r="B9" s="19" t="s">
        <v>211</v>
      </c>
      <c r="C9" s="19" t="s">
        <v>208</v>
      </c>
      <c r="D9" s="29">
        <v>6</v>
      </c>
      <c r="E9" s="29">
        <v>12</v>
      </c>
      <c r="F9" s="29" t="s">
        <v>126</v>
      </c>
      <c r="G9" s="29" t="s">
        <v>209</v>
      </c>
      <c r="H9" s="19" t="s">
        <v>212</v>
      </c>
    </row>
    <row r="10" spans="2:8" ht="21.75" customHeight="1" x14ac:dyDescent="0.3">
      <c r="B10" s="19" t="s">
        <v>213</v>
      </c>
      <c r="C10" s="19" t="s">
        <v>214</v>
      </c>
      <c r="D10" s="29">
        <v>6</v>
      </c>
      <c r="E10" s="29">
        <v>12</v>
      </c>
      <c r="F10" s="29" t="s">
        <v>126</v>
      </c>
      <c r="G10" s="29" t="s">
        <v>215</v>
      </c>
      <c r="H10" s="19" t="s">
        <v>216</v>
      </c>
    </row>
    <row r="11" spans="2:8" ht="21.75" customHeight="1" x14ac:dyDescent="0.3">
      <c r="B11" s="19" t="s">
        <v>217</v>
      </c>
      <c r="C11" s="19" t="s">
        <v>214</v>
      </c>
      <c r="D11" s="29">
        <v>6</v>
      </c>
      <c r="E11" s="29">
        <v>12</v>
      </c>
      <c r="F11" s="29" t="s">
        <v>139</v>
      </c>
      <c r="G11" s="29" t="s">
        <v>136</v>
      </c>
      <c r="H11" s="19" t="s">
        <v>218</v>
      </c>
    </row>
    <row r="12" spans="2:8" ht="21.75" customHeight="1" x14ac:dyDescent="0.3">
      <c r="B12" s="19" t="s">
        <v>219</v>
      </c>
      <c r="C12" s="19" t="s">
        <v>220</v>
      </c>
      <c r="D12" s="29">
        <v>6</v>
      </c>
      <c r="E12" s="29">
        <v>12</v>
      </c>
      <c r="F12" s="29" t="s">
        <v>135</v>
      </c>
      <c r="G12" s="29" t="s">
        <v>221</v>
      </c>
      <c r="H12" s="19" t="s">
        <v>222</v>
      </c>
    </row>
    <row r="13" spans="2:8" ht="21.75" customHeight="1" x14ac:dyDescent="0.3">
      <c r="B13" s="19" t="s">
        <v>223</v>
      </c>
      <c r="C13" s="19" t="s">
        <v>224</v>
      </c>
      <c r="D13" s="29">
        <v>6</v>
      </c>
      <c r="E13" s="29">
        <v>6</v>
      </c>
      <c r="F13" s="29" t="s">
        <v>126</v>
      </c>
      <c r="G13" s="29" t="s">
        <v>225</v>
      </c>
      <c r="H13" s="19" t="s">
        <v>226</v>
      </c>
    </row>
    <row r="16" spans="2:8" ht="19.5" customHeight="1" x14ac:dyDescent="0.3">
      <c r="B16" s="12" t="s">
        <v>227</v>
      </c>
      <c r="C16" s="12"/>
      <c r="D16" s="12"/>
      <c r="E16" s="12"/>
      <c r="F16" s="12"/>
      <c r="G16" s="12"/>
      <c r="H16" s="12"/>
    </row>
    <row r="17" spans="2:8" ht="30" customHeight="1" x14ac:dyDescent="0.3">
      <c r="B17" s="25" t="s">
        <v>228</v>
      </c>
      <c r="C17" s="25" t="s">
        <v>229</v>
      </c>
      <c r="D17" s="25" t="s">
        <v>230</v>
      </c>
      <c r="E17" s="25" t="s">
        <v>150</v>
      </c>
      <c r="F17" s="25" t="s">
        <v>151</v>
      </c>
      <c r="G17" s="25" t="s">
        <v>152</v>
      </c>
      <c r="H17" s="25" t="s">
        <v>231</v>
      </c>
    </row>
    <row r="18" spans="2:8" ht="26.4" x14ac:dyDescent="0.3">
      <c r="B18" s="19" t="s">
        <v>232</v>
      </c>
      <c r="C18" s="29" t="s">
        <v>233</v>
      </c>
      <c r="D18" s="29" t="s">
        <v>234</v>
      </c>
      <c r="E18" s="30">
        <v>0.02</v>
      </c>
      <c r="F18" s="27">
        <v>0.04</v>
      </c>
      <c r="G18" s="30">
        <v>0.06</v>
      </c>
      <c r="H18" s="19" t="s">
        <v>235</v>
      </c>
    </row>
    <row r="19" spans="2:8" ht="26.4" x14ac:dyDescent="0.3">
      <c r="B19" s="19" t="s">
        <v>236</v>
      </c>
      <c r="C19" s="29" t="s">
        <v>233</v>
      </c>
      <c r="D19" s="29" t="s">
        <v>237</v>
      </c>
      <c r="E19" s="30">
        <v>0.05</v>
      </c>
      <c r="F19" s="27">
        <v>7.0000000000000007E-2</v>
      </c>
      <c r="G19" s="30">
        <v>0.1</v>
      </c>
      <c r="H19" s="19" t="s">
        <v>238</v>
      </c>
    </row>
    <row r="20" spans="2:8" ht="26.4" x14ac:dyDescent="0.3">
      <c r="B20" s="19" t="s">
        <v>239</v>
      </c>
      <c r="C20" s="29" t="s">
        <v>233</v>
      </c>
      <c r="D20" s="29" t="s">
        <v>240</v>
      </c>
      <c r="E20" s="30">
        <v>0.04</v>
      </c>
      <c r="F20" s="27">
        <v>0.06</v>
      </c>
      <c r="G20" s="30">
        <v>0.08</v>
      </c>
      <c r="H20" s="19" t="s">
        <v>241</v>
      </c>
    </row>
    <row r="21" spans="2:8" x14ac:dyDescent="0.3">
      <c r="B21" s="19" t="s">
        <v>242</v>
      </c>
      <c r="C21" s="29" t="s">
        <v>243</v>
      </c>
      <c r="D21" s="29" t="s">
        <v>244</v>
      </c>
      <c r="E21" s="30">
        <v>0.03</v>
      </c>
      <c r="F21" s="27">
        <v>0.05</v>
      </c>
      <c r="G21" s="30">
        <v>0.08</v>
      </c>
      <c r="H21" s="19" t="s">
        <v>245</v>
      </c>
    </row>
    <row r="22" spans="2:8" ht="39.6" x14ac:dyDescent="0.3">
      <c r="B22" s="19" t="s">
        <v>246</v>
      </c>
      <c r="C22" s="29" t="s">
        <v>233</v>
      </c>
      <c r="D22" s="29" t="s">
        <v>247</v>
      </c>
      <c r="E22" s="30">
        <v>0.03</v>
      </c>
      <c r="F22" s="27">
        <v>0.05</v>
      </c>
      <c r="G22" s="30">
        <v>0.08</v>
      </c>
      <c r="H22" s="19" t="s">
        <v>248</v>
      </c>
    </row>
    <row r="23" spans="2:8" ht="26.4" x14ac:dyDescent="0.3">
      <c r="B23" s="19" t="s">
        <v>249</v>
      </c>
      <c r="C23" s="29" t="s">
        <v>250</v>
      </c>
      <c r="D23" s="29" t="s">
        <v>251</v>
      </c>
      <c r="E23" s="30">
        <v>0.06</v>
      </c>
      <c r="F23" s="27">
        <v>0.09</v>
      </c>
      <c r="G23" s="30">
        <v>0.13</v>
      </c>
      <c r="H23" s="19" t="s">
        <v>252</v>
      </c>
    </row>
    <row r="24" spans="2:8" x14ac:dyDescent="0.3">
      <c r="B24" s="19" t="s">
        <v>253</v>
      </c>
      <c r="C24" s="29" t="s">
        <v>254</v>
      </c>
      <c r="D24" s="29" t="s">
        <v>255</v>
      </c>
      <c r="E24" s="30">
        <v>0.04</v>
      </c>
      <c r="F24" s="27">
        <v>7.0000000000000007E-2</v>
      </c>
      <c r="G24" s="30">
        <v>0.1</v>
      </c>
      <c r="H24" s="19" t="s">
        <v>256</v>
      </c>
    </row>
    <row r="25" spans="2:8" ht="26.4" x14ac:dyDescent="0.3">
      <c r="B25" s="19" t="s">
        <v>257</v>
      </c>
      <c r="C25" s="29" t="s">
        <v>250</v>
      </c>
      <c r="D25" s="29" t="s">
        <v>251</v>
      </c>
      <c r="E25" s="30">
        <v>7.0000000000000007E-2</v>
      </c>
      <c r="F25" s="27">
        <v>0.1</v>
      </c>
      <c r="G25" s="30">
        <v>0.15</v>
      </c>
      <c r="H25" s="19" t="s">
        <v>258</v>
      </c>
    </row>
    <row r="26" spans="2:8" ht="26.4" x14ac:dyDescent="0.3">
      <c r="B26" s="19" t="s">
        <v>259</v>
      </c>
      <c r="C26" s="29" t="s">
        <v>260</v>
      </c>
      <c r="D26" s="29" t="s">
        <v>251</v>
      </c>
      <c r="E26" s="30">
        <v>0.08</v>
      </c>
      <c r="F26" s="27">
        <v>0.12</v>
      </c>
      <c r="G26" s="30">
        <v>0.18</v>
      </c>
      <c r="H26" s="19" t="s">
        <v>261</v>
      </c>
    </row>
    <row r="27" spans="2:8" ht="26.4" x14ac:dyDescent="0.3">
      <c r="B27" s="19" t="s">
        <v>262</v>
      </c>
      <c r="C27" s="29" t="s">
        <v>263</v>
      </c>
      <c r="D27" s="29" t="s">
        <v>244</v>
      </c>
      <c r="E27" s="30">
        <v>0.05</v>
      </c>
      <c r="F27" s="27">
        <v>0.08</v>
      </c>
      <c r="G27" s="30">
        <v>0.12</v>
      </c>
      <c r="H27" s="19" t="s">
        <v>264</v>
      </c>
    </row>
    <row r="30" spans="2:8" ht="19.5" customHeight="1" x14ac:dyDescent="0.3">
      <c r="B30" s="12" t="s">
        <v>265</v>
      </c>
      <c r="C30" s="12"/>
      <c r="D30" s="12"/>
      <c r="E30" s="12"/>
      <c r="F30" s="12"/>
      <c r="G30" s="12"/>
      <c r="H30" s="12"/>
    </row>
    <row r="31" spans="2:8" ht="49.5" customHeight="1" x14ac:dyDescent="0.3">
      <c r="B31" s="6" t="s">
        <v>266</v>
      </c>
      <c r="C31" s="6"/>
      <c r="D31" s="6"/>
      <c r="E31" s="6"/>
      <c r="F31" s="6"/>
      <c r="G31" s="6"/>
      <c r="H31" s="6"/>
    </row>
    <row r="33" spans="2:8" ht="30" customHeight="1" x14ac:dyDescent="0.3">
      <c r="B33" s="25" t="s">
        <v>267</v>
      </c>
      <c r="C33" s="25" t="s">
        <v>268</v>
      </c>
      <c r="D33" s="25" t="s">
        <v>269</v>
      </c>
      <c r="E33" s="25" t="s">
        <v>150</v>
      </c>
      <c r="F33" s="25" t="s">
        <v>151</v>
      </c>
      <c r="G33" s="25" t="s">
        <v>152</v>
      </c>
      <c r="H33" s="25" t="s">
        <v>270</v>
      </c>
    </row>
    <row r="34" spans="2:8" ht="19.5" customHeight="1" x14ac:dyDescent="0.3">
      <c r="B34" s="19" t="s">
        <v>271</v>
      </c>
      <c r="C34" s="29" t="s">
        <v>272</v>
      </c>
      <c r="D34" s="29" t="s">
        <v>273</v>
      </c>
      <c r="E34" s="30">
        <v>0.04</v>
      </c>
      <c r="F34" s="27">
        <v>0.06</v>
      </c>
      <c r="G34" s="30">
        <v>0.1</v>
      </c>
      <c r="H34" s="32">
        <v>0</v>
      </c>
    </row>
    <row r="35" spans="2:8" ht="19.5" customHeight="1" x14ac:dyDescent="0.3">
      <c r="B35" s="19" t="s">
        <v>274</v>
      </c>
      <c r="C35" s="29" t="s">
        <v>275</v>
      </c>
      <c r="D35" s="29" t="s">
        <v>276</v>
      </c>
      <c r="E35" s="30">
        <v>0.02</v>
      </c>
      <c r="F35" s="27">
        <v>0.03</v>
      </c>
      <c r="G35" s="30">
        <v>0.05</v>
      </c>
      <c r="H35" s="32">
        <v>0.5</v>
      </c>
    </row>
    <row r="36" spans="2:8" ht="19.5" customHeight="1" x14ac:dyDescent="0.3">
      <c r="B36" s="19" t="s">
        <v>277</v>
      </c>
      <c r="C36" s="29" t="s">
        <v>278</v>
      </c>
      <c r="D36" s="29" t="s">
        <v>279</v>
      </c>
      <c r="E36" s="30">
        <v>0.01</v>
      </c>
      <c r="F36" s="27">
        <v>0.02</v>
      </c>
      <c r="G36" s="30">
        <v>0.03</v>
      </c>
      <c r="H36" s="32">
        <v>0.66</v>
      </c>
    </row>
  </sheetData>
  <mergeCells count="6">
    <mergeCell ref="B31:H31"/>
    <mergeCell ref="B2:H2"/>
    <mergeCell ref="B3:H3"/>
    <mergeCell ref="B5:H5"/>
    <mergeCell ref="B16:H16"/>
    <mergeCell ref="B30:H30"/>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G22"/>
  <sheetViews>
    <sheetView topLeftCell="A4" zoomScaleNormal="100" workbookViewId="0"/>
  </sheetViews>
  <sheetFormatPr baseColWidth="10" defaultColWidth="8.6640625" defaultRowHeight="14.4" x14ac:dyDescent="0.3"/>
  <cols>
    <col min="1" max="1" width="3" customWidth="1"/>
    <col min="2" max="2" width="35" customWidth="1"/>
    <col min="3" max="6" width="14" customWidth="1"/>
    <col min="7" max="7" width="35" customWidth="1"/>
  </cols>
  <sheetData>
    <row r="2" spans="2:7" ht="30" customHeight="1" x14ac:dyDescent="0.3">
      <c r="B2" s="14" t="s">
        <v>280</v>
      </c>
      <c r="C2" s="14"/>
      <c r="D2" s="14"/>
      <c r="E2" s="14"/>
      <c r="F2" s="14"/>
      <c r="G2" s="14"/>
    </row>
    <row r="3" spans="2:7" ht="21.75" customHeight="1" x14ac:dyDescent="0.3">
      <c r="B3" s="13" t="s">
        <v>281</v>
      </c>
      <c r="C3" s="13"/>
      <c r="D3" s="13"/>
      <c r="E3" s="13"/>
      <c r="F3" s="13"/>
      <c r="G3" s="13"/>
    </row>
    <row r="5" spans="2:7" ht="19.5" customHeight="1" x14ac:dyDescent="0.3">
      <c r="B5" s="12" t="s">
        <v>282</v>
      </c>
      <c r="C5" s="12"/>
      <c r="D5" s="12"/>
      <c r="E5" s="12"/>
      <c r="F5" s="12"/>
      <c r="G5" s="12"/>
    </row>
    <row r="6" spans="2:7" ht="30" customHeight="1" x14ac:dyDescent="0.3">
      <c r="B6" s="25" t="s">
        <v>283</v>
      </c>
      <c r="C6" s="25" t="s">
        <v>150</v>
      </c>
      <c r="D6" s="25" t="s">
        <v>151</v>
      </c>
      <c r="E6" s="25" t="s">
        <v>152</v>
      </c>
      <c r="F6" s="25" t="s">
        <v>284</v>
      </c>
      <c r="G6" s="25" t="s">
        <v>231</v>
      </c>
    </row>
    <row r="7" spans="2:7" ht="25.5" customHeight="1" x14ac:dyDescent="0.3">
      <c r="B7" s="19" t="s">
        <v>285</v>
      </c>
      <c r="C7" s="33">
        <v>1.2E-2</v>
      </c>
      <c r="D7" s="34">
        <v>1.7999999999999999E-2</v>
      </c>
      <c r="E7" s="33">
        <v>2.5000000000000001E-2</v>
      </c>
      <c r="F7" s="29" t="s">
        <v>286</v>
      </c>
      <c r="G7" s="19" t="s">
        <v>287</v>
      </c>
    </row>
    <row r="8" spans="2:7" ht="25.5" customHeight="1" x14ac:dyDescent="0.3">
      <c r="B8" s="19" t="s">
        <v>288</v>
      </c>
      <c r="C8" s="33">
        <v>1.7999999999999999E-2</v>
      </c>
      <c r="D8" s="34">
        <v>2.5000000000000001E-2</v>
      </c>
      <c r="E8" s="33">
        <v>3.2000000000000001E-2</v>
      </c>
      <c r="F8" s="29" t="s">
        <v>289</v>
      </c>
      <c r="G8" s="19" t="s">
        <v>290</v>
      </c>
    </row>
    <row r="9" spans="2:7" ht="25.5" customHeight="1" x14ac:dyDescent="0.3">
      <c r="B9" s="19" t="s">
        <v>291</v>
      </c>
      <c r="C9" s="33">
        <v>2.5000000000000001E-2</v>
      </c>
      <c r="D9" s="34">
        <v>3.5000000000000003E-2</v>
      </c>
      <c r="E9" s="33">
        <v>4.4999999999999998E-2</v>
      </c>
      <c r="F9" s="29" t="s">
        <v>292</v>
      </c>
      <c r="G9" s="19" t="s">
        <v>293</v>
      </c>
    </row>
    <row r="10" spans="2:7" ht="25.5" customHeight="1" x14ac:dyDescent="0.3">
      <c r="B10" s="19" t="s">
        <v>294</v>
      </c>
      <c r="C10" s="33">
        <v>0.03</v>
      </c>
      <c r="D10" s="34">
        <v>0.04</v>
      </c>
      <c r="E10" s="33">
        <v>5.5E-2</v>
      </c>
      <c r="F10" s="29" t="s">
        <v>292</v>
      </c>
      <c r="G10" s="19" t="s">
        <v>295</v>
      </c>
    </row>
    <row r="11" spans="2:7" ht="25.5" customHeight="1" x14ac:dyDescent="0.3">
      <c r="B11" s="19" t="s">
        <v>296</v>
      </c>
      <c r="C11" s="33">
        <v>0.04</v>
      </c>
      <c r="D11" s="34">
        <v>5.5E-2</v>
      </c>
      <c r="E11" s="33">
        <v>7.0000000000000007E-2</v>
      </c>
      <c r="F11" s="29" t="s">
        <v>297</v>
      </c>
      <c r="G11" s="19" t="s">
        <v>298</v>
      </c>
    </row>
    <row r="12" spans="2:7" ht="25.5" customHeight="1" x14ac:dyDescent="0.3">
      <c r="B12" s="19" t="s">
        <v>299</v>
      </c>
      <c r="C12" s="33">
        <v>4.4999999999999998E-2</v>
      </c>
      <c r="D12" s="34">
        <v>0.06</v>
      </c>
      <c r="E12" s="33">
        <v>0.08</v>
      </c>
      <c r="F12" s="29" t="s">
        <v>297</v>
      </c>
      <c r="G12" s="19" t="s">
        <v>300</v>
      </c>
    </row>
    <row r="13" spans="2:7" ht="25.5" customHeight="1" x14ac:dyDescent="0.3">
      <c r="B13" s="19" t="s">
        <v>301</v>
      </c>
      <c r="C13" s="33">
        <v>2.5000000000000001E-2</v>
      </c>
      <c r="D13" s="34">
        <v>3.2000000000000001E-2</v>
      </c>
      <c r="E13" s="33">
        <v>4.2000000000000003E-2</v>
      </c>
      <c r="F13" s="29" t="s">
        <v>289</v>
      </c>
      <c r="G13" s="19" t="s">
        <v>302</v>
      </c>
    </row>
    <row r="14" spans="2:7" ht="25.5" customHeight="1" x14ac:dyDescent="0.3">
      <c r="B14" s="19" t="s">
        <v>303</v>
      </c>
      <c r="C14" s="33">
        <v>0.03</v>
      </c>
      <c r="D14" s="34">
        <v>0.04</v>
      </c>
      <c r="E14" s="33">
        <v>5.5E-2</v>
      </c>
      <c r="F14" s="29" t="s">
        <v>304</v>
      </c>
      <c r="G14" s="19" t="s">
        <v>305</v>
      </c>
    </row>
    <row r="15" spans="2:7" ht="25.5" customHeight="1" x14ac:dyDescent="0.3">
      <c r="B15" s="19" t="s">
        <v>306</v>
      </c>
      <c r="C15" s="33">
        <v>5.0000000000000001E-3</v>
      </c>
      <c r="D15" s="34">
        <v>8.0000000000000002E-3</v>
      </c>
      <c r="E15" s="33">
        <v>1.2E-2</v>
      </c>
      <c r="F15" s="29" t="s">
        <v>307</v>
      </c>
      <c r="G15" s="19" t="s">
        <v>308</v>
      </c>
    </row>
    <row r="18" spans="2:7" ht="19.5" customHeight="1" x14ac:dyDescent="0.3">
      <c r="B18" s="12" t="s">
        <v>309</v>
      </c>
      <c r="C18" s="12"/>
      <c r="D18" s="12"/>
      <c r="E18" s="12"/>
      <c r="F18" s="12"/>
      <c r="G18" s="12"/>
    </row>
    <row r="19" spans="2:7" ht="18" customHeight="1" x14ac:dyDescent="0.3">
      <c r="B19" s="10" t="s">
        <v>310</v>
      </c>
      <c r="C19" s="10"/>
      <c r="D19" s="10"/>
      <c r="E19" s="10"/>
      <c r="F19" s="10"/>
      <c r="G19" s="10"/>
    </row>
    <row r="20" spans="2:7" ht="18" customHeight="1" x14ac:dyDescent="0.3">
      <c r="B20" s="10"/>
      <c r="C20" s="10"/>
      <c r="D20" s="10"/>
      <c r="E20" s="10"/>
      <c r="F20" s="10"/>
      <c r="G20" s="10"/>
    </row>
    <row r="21" spans="2:7" ht="18" customHeight="1" x14ac:dyDescent="0.3">
      <c r="B21" s="10"/>
      <c r="C21" s="10"/>
      <c r="D21" s="10"/>
      <c r="E21" s="10"/>
      <c r="F21" s="10"/>
      <c r="G21" s="10"/>
    </row>
    <row r="22" spans="2:7" ht="55.8" customHeight="1" x14ac:dyDescent="0.3">
      <c r="B22" s="10"/>
      <c r="C22" s="10"/>
      <c r="D22" s="10"/>
      <c r="E22" s="10"/>
      <c r="F22" s="10"/>
      <c r="G22" s="10"/>
    </row>
  </sheetData>
  <mergeCells count="5">
    <mergeCell ref="B2:G2"/>
    <mergeCell ref="B3:G3"/>
    <mergeCell ref="B5:G5"/>
    <mergeCell ref="B18:G18"/>
    <mergeCell ref="B19:G2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G45"/>
  <sheetViews>
    <sheetView topLeftCell="A26" zoomScaleNormal="100" workbookViewId="0"/>
  </sheetViews>
  <sheetFormatPr baseColWidth="10" defaultColWidth="8.6640625" defaultRowHeight="14.4" x14ac:dyDescent="0.3"/>
  <cols>
    <col min="1" max="1" width="3" customWidth="1"/>
    <col min="2" max="2" width="40" customWidth="1"/>
    <col min="3" max="5" width="14" customWidth="1"/>
    <col min="6" max="6" width="16" customWidth="1"/>
    <col min="7" max="7" width="35" customWidth="1"/>
  </cols>
  <sheetData>
    <row r="2" spans="2:7" ht="30" customHeight="1" x14ac:dyDescent="0.3">
      <c r="B2" s="14" t="s">
        <v>311</v>
      </c>
      <c r="C2" s="14"/>
      <c r="D2" s="14"/>
      <c r="E2" s="14"/>
      <c r="F2" s="14"/>
      <c r="G2" s="14"/>
    </row>
    <row r="3" spans="2:7" ht="21.75" customHeight="1" x14ac:dyDescent="0.3">
      <c r="B3" s="13" t="s">
        <v>312</v>
      </c>
      <c r="C3" s="13"/>
      <c r="D3" s="13"/>
      <c r="E3" s="13"/>
      <c r="F3" s="13"/>
      <c r="G3" s="13"/>
    </row>
    <row r="5" spans="2:7" ht="19.5" customHeight="1" x14ac:dyDescent="0.3">
      <c r="B5" s="12" t="s">
        <v>313</v>
      </c>
      <c r="C5" s="12"/>
      <c r="D5" s="12"/>
      <c r="E5" s="12"/>
      <c r="F5" s="12"/>
      <c r="G5" s="12"/>
    </row>
    <row r="6" spans="2:7" ht="30" customHeight="1" x14ac:dyDescent="0.3">
      <c r="B6" s="25" t="s">
        <v>283</v>
      </c>
      <c r="C6" s="25" t="s">
        <v>150</v>
      </c>
      <c r="D6" s="25" t="s">
        <v>151</v>
      </c>
      <c r="E6" s="25" t="s">
        <v>152</v>
      </c>
      <c r="F6" s="25" t="s">
        <v>314</v>
      </c>
      <c r="G6" s="25" t="s">
        <v>124</v>
      </c>
    </row>
    <row r="7" spans="2:7" ht="25.5" customHeight="1" x14ac:dyDescent="0.3">
      <c r="B7" s="19" t="s">
        <v>315</v>
      </c>
      <c r="C7" s="33">
        <v>5.0000000000000001E-3</v>
      </c>
      <c r="D7" s="34">
        <v>0.01</v>
      </c>
      <c r="E7" s="33">
        <v>1.4999999999999999E-2</v>
      </c>
      <c r="F7" s="29" t="s">
        <v>316</v>
      </c>
      <c r="G7" s="19" t="s">
        <v>317</v>
      </c>
    </row>
    <row r="8" spans="2:7" ht="25.5" customHeight="1" x14ac:dyDescent="0.3">
      <c r="B8" s="19" t="s">
        <v>318</v>
      </c>
      <c r="C8" s="33">
        <v>1.4999999999999999E-2</v>
      </c>
      <c r="D8" s="34">
        <v>0.02</v>
      </c>
      <c r="E8" s="33">
        <v>0.03</v>
      </c>
      <c r="F8" s="29" t="s">
        <v>316</v>
      </c>
      <c r="G8" s="19" t="s">
        <v>319</v>
      </c>
    </row>
    <row r="9" spans="2:7" ht="25.5" customHeight="1" x14ac:dyDescent="0.3">
      <c r="B9" s="19" t="s">
        <v>320</v>
      </c>
      <c r="C9" s="33">
        <v>0.01</v>
      </c>
      <c r="D9" s="34">
        <v>1.4999999999999999E-2</v>
      </c>
      <c r="E9" s="33">
        <v>2.1999999999999999E-2</v>
      </c>
      <c r="F9" s="29" t="s">
        <v>316</v>
      </c>
      <c r="G9" s="19" t="s">
        <v>321</v>
      </c>
    </row>
    <row r="10" spans="2:7" ht="25.5" customHeight="1" x14ac:dyDescent="0.3">
      <c r="B10" s="19" t="s">
        <v>322</v>
      </c>
      <c r="C10" s="33">
        <v>0.02</v>
      </c>
      <c r="D10" s="34">
        <v>0.03</v>
      </c>
      <c r="E10" s="33">
        <v>4.4999999999999998E-2</v>
      </c>
      <c r="F10" s="29" t="s">
        <v>323</v>
      </c>
      <c r="G10" s="19" t="s">
        <v>324</v>
      </c>
    </row>
    <row r="13" spans="2:7" ht="19.5" customHeight="1" x14ac:dyDescent="0.3">
      <c r="B13" s="12" t="s">
        <v>325</v>
      </c>
      <c r="C13" s="12"/>
      <c r="D13" s="12"/>
      <c r="E13" s="12"/>
      <c r="F13" s="12"/>
      <c r="G13" s="12"/>
    </row>
    <row r="14" spans="2:7" ht="30" customHeight="1" x14ac:dyDescent="0.3">
      <c r="B14" s="25" t="s">
        <v>326</v>
      </c>
      <c r="C14" s="25" t="s">
        <v>150</v>
      </c>
      <c r="D14" s="25" t="s">
        <v>151</v>
      </c>
      <c r="E14" s="25" t="s">
        <v>152</v>
      </c>
      <c r="F14" s="25" t="s">
        <v>327</v>
      </c>
      <c r="G14" s="25" t="s">
        <v>124</v>
      </c>
    </row>
    <row r="15" spans="2:7" ht="27.75" customHeight="1" x14ac:dyDescent="0.3">
      <c r="B15" s="19" t="s">
        <v>328</v>
      </c>
      <c r="C15" s="33">
        <v>1.2E-2</v>
      </c>
      <c r="D15" s="34">
        <v>1.7999999999999999E-2</v>
      </c>
      <c r="E15" s="33">
        <v>2.5000000000000001E-2</v>
      </c>
      <c r="F15" s="29" t="s">
        <v>329</v>
      </c>
      <c r="G15" s="19" t="s">
        <v>330</v>
      </c>
    </row>
    <row r="16" spans="2:7" ht="27.75" customHeight="1" x14ac:dyDescent="0.3">
      <c r="B16" s="19" t="s">
        <v>331</v>
      </c>
      <c r="C16" s="33">
        <v>0.02</v>
      </c>
      <c r="D16" s="34">
        <v>2.5000000000000001E-2</v>
      </c>
      <c r="E16" s="33">
        <v>3.5000000000000003E-2</v>
      </c>
      <c r="F16" s="29" t="s">
        <v>329</v>
      </c>
      <c r="G16" s="19" t="s">
        <v>332</v>
      </c>
    </row>
    <row r="17" spans="2:7" ht="27.75" customHeight="1" x14ac:dyDescent="0.3">
      <c r="B17" s="19" t="s">
        <v>333</v>
      </c>
      <c r="C17" s="33">
        <v>2.5000000000000001E-2</v>
      </c>
      <c r="D17" s="34">
        <v>0.03</v>
      </c>
      <c r="E17" s="33">
        <v>0.04</v>
      </c>
      <c r="F17" s="29" t="s">
        <v>329</v>
      </c>
      <c r="G17" s="19" t="s">
        <v>334</v>
      </c>
    </row>
    <row r="18" spans="2:7" ht="27.75" customHeight="1" x14ac:dyDescent="0.3">
      <c r="B18" s="19" t="s">
        <v>335</v>
      </c>
      <c r="C18" s="33">
        <v>2.5000000000000001E-2</v>
      </c>
      <c r="D18" s="34">
        <v>0.03</v>
      </c>
      <c r="E18" s="33">
        <v>0.04</v>
      </c>
      <c r="F18" s="29" t="s">
        <v>336</v>
      </c>
      <c r="G18" s="19" t="s">
        <v>337</v>
      </c>
    </row>
    <row r="19" spans="2:7" ht="27.75" customHeight="1" x14ac:dyDescent="0.3">
      <c r="B19" s="19" t="s">
        <v>338</v>
      </c>
      <c r="C19" s="33">
        <v>0.04</v>
      </c>
      <c r="D19" s="34">
        <v>5.5E-2</v>
      </c>
      <c r="E19" s="33">
        <v>7.4999999999999997E-2</v>
      </c>
      <c r="F19" s="29" t="s">
        <v>339</v>
      </c>
      <c r="G19" s="19" t="s">
        <v>340</v>
      </c>
    </row>
    <row r="20" spans="2:7" ht="27.75" customHeight="1" x14ac:dyDescent="0.3">
      <c r="B20" s="19" t="s">
        <v>341</v>
      </c>
      <c r="C20" s="33">
        <v>4.4999999999999998E-2</v>
      </c>
      <c r="D20" s="34">
        <v>0.06</v>
      </c>
      <c r="E20" s="33">
        <v>8.5000000000000006E-2</v>
      </c>
      <c r="F20" s="29" t="s">
        <v>342</v>
      </c>
      <c r="G20" s="19" t="s">
        <v>343</v>
      </c>
    </row>
    <row r="21" spans="2:7" ht="27.75" customHeight="1" x14ac:dyDescent="0.3">
      <c r="B21" s="19" t="s">
        <v>344</v>
      </c>
      <c r="C21" s="33">
        <v>1.4999999999999999E-2</v>
      </c>
      <c r="D21" s="34">
        <v>0.02</v>
      </c>
      <c r="E21" s="33">
        <v>0.03</v>
      </c>
      <c r="F21" s="29" t="s">
        <v>329</v>
      </c>
      <c r="G21" s="19" t="s">
        <v>345</v>
      </c>
    </row>
    <row r="22" spans="2:7" ht="27.75" customHeight="1" x14ac:dyDescent="0.3">
      <c r="B22" s="19" t="s">
        <v>346</v>
      </c>
      <c r="C22" s="33">
        <v>0.03</v>
      </c>
      <c r="D22" s="34">
        <v>0.04</v>
      </c>
      <c r="E22" s="33">
        <v>5.5E-2</v>
      </c>
      <c r="F22" s="29" t="s">
        <v>336</v>
      </c>
      <c r="G22" s="19" t="s">
        <v>347</v>
      </c>
    </row>
    <row r="25" spans="2:7" ht="19.5" customHeight="1" x14ac:dyDescent="0.3">
      <c r="B25" s="12" t="s">
        <v>348</v>
      </c>
      <c r="C25" s="12"/>
      <c r="D25" s="12"/>
      <c r="E25" s="12"/>
      <c r="F25" s="12"/>
      <c r="G25" s="12"/>
    </row>
    <row r="26" spans="2:7" ht="30" customHeight="1" x14ac:dyDescent="0.3">
      <c r="B26" s="25" t="s">
        <v>349</v>
      </c>
      <c r="C26" s="25" t="s">
        <v>150</v>
      </c>
      <c r="D26" s="25" t="s">
        <v>151</v>
      </c>
      <c r="E26" s="25" t="s">
        <v>152</v>
      </c>
      <c r="F26" s="25" t="s">
        <v>350</v>
      </c>
      <c r="G26" s="25" t="s">
        <v>124</v>
      </c>
    </row>
    <row r="27" spans="2:7" ht="27.75" customHeight="1" x14ac:dyDescent="0.3">
      <c r="B27" s="19" t="s">
        <v>351</v>
      </c>
      <c r="C27" s="33">
        <v>5.0000000000000001E-3</v>
      </c>
      <c r="D27" s="34">
        <v>0.01</v>
      </c>
      <c r="E27" s="33">
        <v>1.4999999999999999E-2</v>
      </c>
      <c r="F27" s="29" t="s">
        <v>352</v>
      </c>
      <c r="G27" s="19" t="s">
        <v>353</v>
      </c>
    </row>
    <row r="28" spans="2:7" ht="27.75" customHeight="1" x14ac:dyDescent="0.3">
      <c r="B28" s="19" t="s">
        <v>354</v>
      </c>
      <c r="C28" s="33">
        <v>1.4999999999999999E-2</v>
      </c>
      <c r="D28" s="34">
        <v>2.1999999999999999E-2</v>
      </c>
      <c r="E28" s="33">
        <v>3.2000000000000001E-2</v>
      </c>
      <c r="F28" s="29" t="s">
        <v>329</v>
      </c>
      <c r="G28" s="19" t="s">
        <v>355</v>
      </c>
    </row>
    <row r="29" spans="2:7" ht="27.75" customHeight="1" x14ac:dyDescent="0.3">
      <c r="B29" s="19" t="s">
        <v>356</v>
      </c>
      <c r="C29" s="33">
        <v>0.02</v>
      </c>
      <c r="D29" s="34">
        <v>2.8000000000000001E-2</v>
      </c>
      <c r="E29" s="33">
        <v>0.04</v>
      </c>
      <c r="F29" s="29" t="s">
        <v>357</v>
      </c>
      <c r="G29" s="19" t="s">
        <v>358</v>
      </c>
    </row>
    <row r="30" spans="2:7" ht="27.75" customHeight="1" x14ac:dyDescent="0.3">
      <c r="B30" s="19" t="s">
        <v>359</v>
      </c>
      <c r="C30" s="33">
        <v>1.4999999999999999E-2</v>
      </c>
      <c r="D30" s="34">
        <v>2.1999999999999999E-2</v>
      </c>
      <c r="E30" s="33">
        <v>3.2000000000000001E-2</v>
      </c>
      <c r="F30" s="29" t="s">
        <v>336</v>
      </c>
      <c r="G30" s="19" t="s">
        <v>360</v>
      </c>
    </row>
    <row r="31" spans="2:7" ht="27.75" customHeight="1" x14ac:dyDescent="0.3">
      <c r="B31" s="19" t="s">
        <v>361</v>
      </c>
      <c r="C31" s="33">
        <v>1.4999999999999999E-2</v>
      </c>
      <c r="D31" s="34">
        <v>2.1999999999999999E-2</v>
      </c>
      <c r="E31" s="33">
        <v>0.03</v>
      </c>
      <c r="F31" s="29" t="s">
        <v>329</v>
      </c>
      <c r="G31" s="19" t="s">
        <v>302</v>
      </c>
    </row>
    <row r="32" spans="2:7" ht="27.75" customHeight="1" x14ac:dyDescent="0.3">
      <c r="B32" s="19" t="s">
        <v>362</v>
      </c>
      <c r="C32" s="33">
        <v>0.03</v>
      </c>
      <c r="D32" s="34">
        <v>0.04</v>
      </c>
      <c r="E32" s="33">
        <v>5.5E-2</v>
      </c>
      <c r="F32" s="29" t="s">
        <v>357</v>
      </c>
      <c r="G32" s="19" t="s">
        <v>363</v>
      </c>
    </row>
    <row r="33" spans="2:7" ht="27.75" customHeight="1" x14ac:dyDescent="0.3">
      <c r="B33" s="19" t="s">
        <v>364</v>
      </c>
      <c r="C33" s="33">
        <v>2.5000000000000001E-2</v>
      </c>
      <c r="D33" s="34">
        <v>3.5000000000000003E-2</v>
      </c>
      <c r="E33" s="33">
        <v>0.05</v>
      </c>
      <c r="F33" s="29" t="s">
        <v>336</v>
      </c>
      <c r="G33" s="19" t="s">
        <v>365</v>
      </c>
    </row>
    <row r="36" spans="2:7" ht="19.5" customHeight="1" x14ac:dyDescent="0.3">
      <c r="B36" s="12" t="s">
        <v>366</v>
      </c>
      <c r="C36" s="12"/>
      <c r="D36" s="12"/>
      <c r="E36" s="12"/>
      <c r="F36" s="12"/>
      <c r="G36" s="12"/>
    </row>
    <row r="37" spans="2:7" ht="15" customHeight="1" x14ac:dyDescent="0.3">
      <c r="B37" s="7" t="s">
        <v>367</v>
      </c>
      <c r="C37" s="7"/>
      <c r="D37" s="7"/>
      <c r="E37" s="7"/>
      <c r="F37" s="7"/>
      <c r="G37" s="7"/>
    </row>
    <row r="38" spans="2:7" ht="15" customHeight="1" x14ac:dyDescent="0.3">
      <c r="B38" s="7" t="s">
        <v>368</v>
      </c>
      <c r="C38" s="7"/>
      <c r="D38" s="7"/>
      <c r="E38" s="7"/>
      <c r="F38" s="7"/>
      <c r="G38" s="7"/>
    </row>
    <row r="39" spans="2:7" ht="15" customHeight="1" x14ac:dyDescent="0.3">
      <c r="B39" s="7" t="s">
        <v>369</v>
      </c>
      <c r="C39" s="7"/>
      <c r="D39" s="7"/>
      <c r="E39" s="7"/>
      <c r="F39" s="7"/>
      <c r="G39" s="7"/>
    </row>
    <row r="40" spans="2:7" ht="15" customHeight="1" x14ac:dyDescent="0.3">
      <c r="B40" s="7" t="s">
        <v>370</v>
      </c>
      <c r="C40" s="7"/>
      <c r="D40" s="7"/>
      <c r="E40" s="7"/>
      <c r="F40" s="7"/>
      <c r="G40" s="7"/>
    </row>
    <row r="41" spans="2:7" ht="15" customHeight="1" x14ac:dyDescent="0.3">
      <c r="B41" s="7" t="s">
        <v>371</v>
      </c>
      <c r="C41" s="7"/>
      <c r="D41" s="7"/>
      <c r="E41" s="7"/>
      <c r="F41" s="7"/>
      <c r="G41" s="7"/>
    </row>
    <row r="42" spans="2:7" ht="15" customHeight="1" x14ac:dyDescent="0.3">
      <c r="B42" s="7" t="s">
        <v>372</v>
      </c>
      <c r="C42" s="7"/>
      <c r="D42" s="7"/>
      <c r="E42" s="7"/>
      <c r="F42" s="7"/>
      <c r="G42" s="7"/>
    </row>
    <row r="43" spans="2:7" ht="22.35" customHeight="1" x14ac:dyDescent="0.3">
      <c r="B43" s="7" t="s">
        <v>373</v>
      </c>
      <c r="C43" s="7"/>
      <c r="D43" s="7"/>
      <c r="E43" s="7"/>
      <c r="F43" s="7"/>
      <c r="G43" s="7"/>
    </row>
    <row r="44" spans="2:7" ht="22.35" customHeight="1" x14ac:dyDescent="0.3">
      <c r="B44" s="7" t="s">
        <v>374</v>
      </c>
      <c r="C44" s="7"/>
      <c r="D44" s="7"/>
      <c r="E44" s="7"/>
      <c r="F44" s="7"/>
      <c r="G44" s="7"/>
    </row>
    <row r="45" spans="2:7" ht="22.35" customHeight="1" x14ac:dyDescent="0.3">
      <c r="B45" s="7" t="s">
        <v>375</v>
      </c>
      <c r="C45" s="7"/>
      <c r="D45" s="7"/>
      <c r="E45" s="7"/>
      <c r="F45" s="7"/>
      <c r="G45" s="7"/>
    </row>
  </sheetData>
  <mergeCells count="15">
    <mergeCell ref="B41:G41"/>
    <mergeCell ref="B42:G42"/>
    <mergeCell ref="B43:G43"/>
    <mergeCell ref="B44:G44"/>
    <mergeCell ref="B45:G45"/>
    <mergeCell ref="B36:G36"/>
    <mergeCell ref="B37:G37"/>
    <mergeCell ref="B38:G38"/>
    <mergeCell ref="B39:G39"/>
    <mergeCell ref="B40:G40"/>
    <mergeCell ref="B2:G2"/>
    <mergeCell ref="B3:G3"/>
    <mergeCell ref="B5:G5"/>
    <mergeCell ref="B13:G13"/>
    <mergeCell ref="B25:G25"/>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G34"/>
  <sheetViews>
    <sheetView topLeftCell="A20" zoomScaleNormal="100" workbookViewId="0"/>
  </sheetViews>
  <sheetFormatPr baseColWidth="10" defaultColWidth="8.6640625" defaultRowHeight="14.4" x14ac:dyDescent="0.3"/>
  <cols>
    <col min="1" max="1" width="3" customWidth="1"/>
    <col min="2" max="2" width="38" customWidth="1"/>
    <col min="3" max="5" width="14" customWidth="1"/>
    <col min="6" max="6" width="16" customWidth="1"/>
    <col min="7" max="7" width="36" customWidth="1"/>
  </cols>
  <sheetData>
    <row r="2" spans="2:7" ht="30" customHeight="1" x14ac:dyDescent="0.3">
      <c r="B2" s="14" t="s">
        <v>376</v>
      </c>
      <c r="C2" s="14"/>
      <c r="D2" s="14"/>
      <c r="E2" s="14"/>
      <c r="F2" s="14"/>
      <c r="G2" s="14"/>
    </row>
    <row r="3" spans="2:7" ht="21.75" customHeight="1" x14ac:dyDescent="0.3">
      <c r="B3" s="13" t="s">
        <v>377</v>
      </c>
      <c r="C3" s="13"/>
      <c r="D3" s="13"/>
      <c r="E3" s="13"/>
      <c r="F3" s="13"/>
      <c r="G3" s="13"/>
    </row>
    <row r="5" spans="2:7" ht="19.5" customHeight="1" x14ac:dyDescent="0.3">
      <c r="B5" s="12" t="s">
        <v>378</v>
      </c>
      <c r="C5" s="12"/>
      <c r="D5" s="12"/>
      <c r="E5" s="12"/>
      <c r="F5" s="12"/>
      <c r="G5" s="12"/>
    </row>
    <row r="6" spans="2:7" ht="30" customHeight="1" x14ac:dyDescent="0.3">
      <c r="B6" s="25" t="s">
        <v>379</v>
      </c>
      <c r="C6" s="25" t="s">
        <v>150</v>
      </c>
      <c r="D6" s="25" t="s">
        <v>151</v>
      </c>
      <c r="E6" s="25" t="s">
        <v>152</v>
      </c>
      <c r="F6" s="25" t="s">
        <v>380</v>
      </c>
      <c r="G6" s="25" t="s">
        <v>124</v>
      </c>
    </row>
    <row r="7" spans="2:7" ht="27.75" customHeight="1" x14ac:dyDescent="0.3">
      <c r="B7" s="19" t="s">
        <v>381</v>
      </c>
      <c r="C7" s="30">
        <v>7.0000000000000007E-2</v>
      </c>
      <c r="D7" s="27">
        <v>0.1</v>
      </c>
      <c r="E7" s="30">
        <v>0.13</v>
      </c>
      <c r="F7" s="29" t="s">
        <v>382</v>
      </c>
      <c r="G7" s="19" t="s">
        <v>383</v>
      </c>
    </row>
    <row r="8" spans="2:7" ht="27.75" customHeight="1" x14ac:dyDescent="0.3">
      <c r="B8" s="19" t="s">
        <v>384</v>
      </c>
      <c r="C8" s="30">
        <v>0.09</v>
      </c>
      <c r="D8" s="27">
        <v>0.12</v>
      </c>
      <c r="E8" s="30">
        <v>0.16</v>
      </c>
      <c r="F8" s="29" t="s">
        <v>385</v>
      </c>
      <c r="G8" s="19" t="s">
        <v>386</v>
      </c>
    </row>
    <row r="9" spans="2:7" ht="27.75" customHeight="1" x14ac:dyDescent="0.3">
      <c r="B9" s="19" t="s">
        <v>387</v>
      </c>
      <c r="C9" s="30">
        <v>0.04</v>
      </c>
      <c r="D9" s="27">
        <v>0.06</v>
      </c>
      <c r="E9" s="30">
        <v>0.09</v>
      </c>
      <c r="F9" s="29" t="s">
        <v>388</v>
      </c>
      <c r="G9" s="19" t="s">
        <v>389</v>
      </c>
    </row>
    <row r="10" spans="2:7" ht="27.75" customHeight="1" x14ac:dyDescent="0.3">
      <c r="B10" s="19" t="s">
        <v>390</v>
      </c>
      <c r="C10" s="30">
        <v>0.05</v>
      </c>
      <c r="D10" s="27">
        <v>7.0000000000000007E-2</v>
      </c>
      <c r="E10" s="30">
        <v>0.1</v>
      </c>
      <c r="F10" s="29" t="s">
        <v>391</v>
      </c>
      <c r="G10" s="19" t="s">
        <v>392</v>
      </c>
    </row>
    <row r="11" spans="2:7" ht="27.75" customHeight="1" x14ac:dyDescent="0.3">
      <c r="B11" s="19" t="s">
        <v>393</v>
      </c>
      <c r="C11" s="30">
        <v>0.06</v>
      </c>
      <c r="D11" s="27">
        <v>0.08</v>
      </c>
      <c r="E11" s="30">
        <v>0.11</v>
      </c>
      <c r="F11" s="29" t="s">
        <v>394</v>
      </c>
      <c r="G11" s="19" t="s">
        <v>395</v>
      </c>
    </row>
    <row r="12" spans="2:7" ht="27.75" customHeight="1" x14ac:dyDescent="0.3">
      <c r="B12" s="19" t="s">
        <v>396</v>
      </c>
      <c r="C12" s="30">
        <v>0.1</v>
      </c>
      <c r="D12" s="27">
        <v>0.14000000000000001</v>
      </c>
      <c r="E12" s="30">
        <v>0.18</v>
      </c>
      <c r="F12" s="29" t="s">
        <v>397</v>
      </c>
      <c r="G12" s="19" t="s">
        <v>398</v>
      </c>
    </row>
    <row r="13" spans="2:7" ht="27.75" customHeight="1" x14ac:dyDescent="0.3">
      <c r="B13" s="19" t="s">
        <v>399</v>
      </c>
      <c r="C13" s="30">
        <v>0.08</v>
      </c>
      <c r="D13" s="27">
        <v>0.12</v>
      </c>
      <c r="E13" s="30">
        <v>0.16</v>
      </c>
      <c r="F13" s="29" t="s">
        <v>397</v>
      </c>
      <c r="G13" s="19" t="s">
        <v>400</v>
      </c>
    </row>
    <row r="14" spans="2:7" ht="27.75" customHeight="1" x14ac:dyDescent="0.3">
      <c r="B14" s="19" t="s">
        <v>401</v>
      </c>
      <c r="C14" s="30">
        <v>0.1</v>
      </c>
      <c r="D14" s="27">
        <v>0.14000000000000001</v>
      </c>
      <c r="E14" s="30">
        <v>0.18</v>
      </c>
      <c r="F14" s="29" t="s">
        <v>397</v>
      </c>
      <c r="G14" s="19" t="s">
        <v>402</v>
      </c>
    </row>
    <row r="15" spans="2:7" ht="27.75" customHeight="1" x14ac:dyDescent="0.3">
      <c r="B15" s="19" t="s">
        <v>403</v>
      </c>
      <c r="C15" s="30">
        <v>0.1</v>
      </c>
      <c r="D15" s="27">
        <v>0.14000000000000001</v>
      </c>
      <c r="E15" s="30">
        <v>0.18</v>
      </c>
      <c r="F15" s="29" t="s">
        <v>385</v>
      </c>
      <c r="G15" s="19" t="s">
        <v>404</v>
      </c>
    </row>
    <row r="16" spans="2:7" ht="27.75" customHeight="1" x14ac:dyDescent="0.3">
      <c r="B16" s="19" t="s">
        <v>405</v>
      </c>
      <c r="C16" s="30">
        <v>0.06</v>
      </c>
      <c r="D16" s="27">
        <v>0.09</v>
      </c>
      <c r="E16" s="30">
        <v>0.12</v>
      </c>
      <c r="F16" s="29" t="s">
        <v>382</v>
      </c>
      <c r="G16" s="19" t="s">
        <v>406</v>
      </c>
    </row>
    <row r="19" spans="2:7" ht="19.5" customHeight="1" x14ac:dyDescent="0.3">
      <c r="B19" s="12" t="s">
        <v>407</v>
      </c>
      <c r="C19" s="12"/>
      <c r="D19" s="12"/>
      <c r="E19" s="12"/>
      <c r="F19" s="12"/>
      <c r="G19" s="12"/>
    </row>
    <row r="20" spans="2:7" ht="30" customHeight="1" x14ac:dyDescent="0.3">
      <c r="B20" s="25" t="s">
        <v>61</v>
      </c>
      <c r="C20" s="25" t="s">
        <v>408</v>
      </c>
      <c r="D20" s="25" t="s">
        <v>409</v>
      </c>
      <c r="E20" s="25" t="s">
        <v>410</v>
      </c>
      <c r="F20" s="25" t="s">
        <v>411</v>
      </c>
      <c r="G20" s="25" t="s">
        <v>412</v>
      </c>
    </row>
    <row r="21" spans="2:7" ht="21.75" customHeight="1" x14ac:dyDescent="0.3">
      <c r="B21" s="19" t="s">
        <v>413</v>
      </c>
      <c r="C21" s="26">
        <v>0.1</v>
      </c>
      <c r="D21" s="26">
        <v>0.06</v>
      </c>
      <c r="E21" s="26">
        <v>0.04</v>
      </c>
      <c r="F21" s="35" t="s">
        <v>414</v>
      </c>
      <c r="G21" s="28" t="s">
        <v>415</v>
      </c>
    </row>
    <row r="22" spans="2:7" ht="21.75" customHeight="1" x14ac:dyDescent="0.3">
      <c r="B22" s="19" t="s">
        <v>416</v>
      </c>
      <c r="C22" s="26">
        <v>2.5000000000000001E-2</v>
      </c>
      <c r="D22" s="26">
        <v>0</v>
      </c>
      <c r="E22" s="26">
        <v>2.5000000000000001E-2</v>
      </c>
      <c r="F22" s="35" t="s">
        <v>417</v>
      </c>
      <c r="G22" s="28" t="s">
        <v>418</v>
      </c>
    </row>
    <row r="23" spans="2:7" ht="21.75" customHeight="1" x14ac:dyDescent="0.3">
      <c r="B23" s="19" t="s">
        <v>419</v>
      </c>
      <c r="C23" s="26">
        <v>0.01</v>
      </c>
      <c r="D23" s="26">
        <v>0.02</v>
      </c>
      <c r="E23" s="26">
        <v>-0.01</v>
      </c>
      <c r="F23" s="35" t="s">
        <v>420</v>
      </c>
      <c r="G23" s="28" t="s">
        <v>421</v>
      </c>
    </row>
    <row r="24" spans="2:7" ht="26.4" x14ac:dyDescent="0.3">
      <c r="B24" s="36" t="s">
        <v>422</v>
      </c>
      <c r="C24" s="37">
        <v>0.13500000000000001</v>
      </c>
      <c r="D24" s="37">
        <v>0.08</v>
      </c>
      <c r="E24" s="37">
        <v>5.5E-2</v>
      </c>
      <c r="F24" s="38" t="s">
        <v>423</v>
      </c>
      <c r="G24" s="36" t="s">
        <v>424</v>
      </c>
    </row>
    <row r="27" spans="2:7" ht="19.5" customHeight="1" x14ac:dyDescent="0.3">
      <c r="B27" s="12" t="s">
        <v>425</v>
      </c>
      <c r="C27" s="12"/>
      <c r="D27" s="12"/>
      <c r="E27" s="12"/>
      <c r="F27" s="12"/>
      <c r="G27" s="12"/>
    </row>
    <row r="28" spans="2:7" ht="37.5" customHeight="1" x14ac:dyDescent="0.3">
      <c r="B28" s="5" t="s">
        <v>426</v>
      </c>
      <c r="C28" s="5"/>
      <c r="D28" s="5"/>
      <c r="E28" s="5"/>
      <c r="F28" s="5"/>
      <c r="G28" s="5"/>
    </row>
    <row r="29" spans="2:7" ht="36" customHeight="1" x14ac:dyDescent="0.3">
      <c r="B29" s="5" t="s">
        <v>427</v>
      </c>
      <c r="C29" s="5"/>
      <c r="D29" s="5"/>
      <c r="E29" s="5"/>
      <c r="F29" s="5"/>
      <c r="G29" s="5"/>
    </row>
    <row r="30" spans="2:7" ht="34.5" customHeight="1" x14ac:dyDescent="0.3">
      <c r="B30" s="5" t="s">
        <v>428</v>
      </c>
      <c r="C30" s="5"/>
      <c r="D30" s="5"/>
      <c r="E30" s="5"/>
      <c r="F30" s="5"/>
      <c r="G30" s="5"/>
    </row>
    <row r="31" spans="2:7" ht="39" customHeight="1" x14ac:dyDescent="0.3">
      <c r="B31" s="5" t="s">
        <v>429</v>
      </c>
      <c r="C31" s="5"/>
      <c r="D31" s="5"/>
      <c r="E31" s="5"/>
      <c r="F31" s="5"/>
      <c r="G31" s="5"/>
    </row>
    <row r="32" spans="2:7" ht="33.75" customHeight="1" x14ac:dyDescent="0.3">
      <c r="B32" s="5" t="s">
        <v>430</v>
      </c>
      <c r="C32" s="5"/>
      <c r="D32" s="5"/>
      <c r="E32" s="5"/>
      <c r="F32" s="5"/>
      <c r="G32" s="5"/>
    </row>
    <row r="33" spans="2:7" ht="31.5" customHeight="1" x14ac:dyDescent="0.3">
      <c r="B33" s="5" t="s">
        <v>431</v>
      </c>
      <c r="C33" s="5"/>
      <c r="D33" s="5"/>
      <c r="E33" s="5"/>
      <c r="F33" s="5"/>
      <c r="G33" s="5"/>
    </row>
    <row r="34" spans="2:7" ht="34.5" customHeight="1" x14ac:dyDescent="0.3">
      <c r="B34" s="5" t="s">
        <v>432</v>
      </c>
      <c r="C34" s="5"/>
      <c r="D34" s="5"/>
      <c r="E34" s="5"/>
      <c r="F34" s="5"/>
      <c r="G34" s="5"/>
    </row>
  </sheetData>
  <mergeCells count="12">
    <mergeCell ref="B33:G33"/>
    <mergeCell ref="B34:G34"/>
    <mergeCell ref="B28:G28"/>
    <mergeCell ref="B29:G29"/>
    <mergeCell ref="B30:G30"/>
    <mergeCell ref="B31:G31"/>
    <mergeCell ref="B32:G32"/>
    <mergeCell ref="B2:G2"/>
    <mergeCell ref="B3:G3"/>
    <mergeCell ref="B5:G5"/>
    <mergeCell ref="B19:G19"/>
    <mergeCell ref="B27:G27"/>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G34"/>
  <sheetViews>
    <sheetView topLeftCell="A22" zoomScaleNormal="100" workbookViewId="0">
      <selection activeCell="J37" sqref="J37"/>
    </sheetView>
  </sheetViews>
  <sheetFormatPr baseColWidth="10" defaultColWidth="8.6640625" defaultRowHeight="14.4" x14ac:dyDescent="0.3"/>
  <cols>
    <col min="1" max="1" width="3" customWidth="1"/>
    <col min="2" max="2" width="32" customWidth="1"/>
    <col min="3" max="6" width="14" customWidth="1"/>
    <col min="7" max="7" width="28" customWidth="1"/>
  </cols>
  <sheetData>
    <row r="2" spans="2:7" ht="30" customHeight="1" x14ac:dyDescent="0.3">
      <c r="B2" s="14" t="s">
        <v>433</v>
      </c>
      <c r="C2" s="14"/>
      <c r="D2" s="14"/>
      <c r="E2" s="14"/>
      <c r="F2" s="14"/>
      <c r="G2" s="14"/>
    </row>
    <row r="3" spans="2:7" ht="21.75" customHeight="1" x14ac:dyDescent="0.3">
      <c r="B3" s="13" t="s">
        <v>434</v>
      </c>
      <c r="C3" s="13"/>
      <c r="D3" s="13"/>
      <c r="E3" s="13"/>
      <c r="F3" s="13"/>
      <c r="G3" s="13"/>
    </row>
    <row r="5" spans="2:7" ht="19.5" customHeight="1" x14ac:dyDescent="0.3">
      <c r="B5" s="12" t="s">
        <v>435</v>
      </c>
      <c r="C5" s="12"/>
      <c r="D5" s="12"/>
      <c r="E5" s="12"/>
      <c r="F5" s="12"/>
      <c r="G5" s="12"/>
    </row>
    <row r="6" spans="2:7" ht="19.5" customHeight="1" x14ac:dyDescent="0.3">
      <c r="B6" s="10" t="s">
        <v>436</v>
      </c>
      <c r="C6" s="10"/>
      <c r="D6" s="10"/>
      <c r="E6" s="10"/>
      <c r="F6" s="10"/>
      <c r="G6" s="10"/>
    </row>
    <row r="7" spans="2:7" ht="19.5" customHeight="1" x14ac:dyDescent="0.3">
      <c r="B7" s="10"/>
      <c r="C7" s="10"/>
      <c r="D7" s="10"/>
      <c r="E7" s="10"/>
      <c r="F7" s="10"/>
      <c r="G7" s="10"/>
    </row>
    <row r="8" spans="2:7" ht="19.5" customHeight="1" x14ac:dyDescent="0.3">
      <c r="B8" s="10"/>
      <c r="C8" s="10"/>
      <c r="D8" s="10"/>
      <c r="E8" s="10"/>
      <c r="F8" s="10"/>
      <c r="G8" s="10"/>
    </row>
    <row r="9" spans="2:7" ht="19.5" customHeight="1" x14ac:dyDescent="0.3">
      <c r="B9" s="10"/>
      <c r="C9" s="10"/>
      <c r="D9" s="10"/>
      <c r="E9" s="10"/>
      <c r="F9" s="10"/>
      <c r="G9" s="10"/>
    </row>
    <row r="11" spans="2:7" ht="19.5" customHeight="1" x14ac:dyDescent="0.3">
      <c r="B11" s="12" t="s">
        <v>437</v>
      </c>
      <c r="C11" s="12"/>
      <c r="D11" s="12"/>
      <c r="E11" s="12"/>
      <c r="F11" s="12"/>
      <c r="G11" s="12"/>
    </row>
    <row r="12" spans="2:7" ht="31.5" customHeight="1" x14ac:dyDescent="0.3">
      <c r="B12" s="25" t="s">
        <v>438</v>
      </c>
      <c r="C12" s="25" t="s">
        <v>439</v>
      </c>
      <c r="D12" s="25" t="s">
        <v>440</v>
      </c>
      <c r="E12" s="25" t="s">
        <v>441</v>
      </c>
      <c r="F12" s="25" t="s">
        <v>442</v>
      </c>
      <c r="G12" s="25" t="s">
        <v>443</v>
      </c>
    </row>
    <row r="13" spans="2:7" x14ac:dyDescent="0.3">
      <c r="B13" s="8" t="s">
        <v>444</v>
      </c>
      <c r="C13" s="8"/>
      <c r="D13" s="8"/>
      <c r="E13" s="8"/>
      <c r="F13" s="8"/>
      <c r="G13" s="8"/>
    </row>
    <row r="14" spans="2:7" ht="30" customHeight="1" x14ac:dyDescent="0.3">
      <c r="B14" s="18" t="s">
        <v>445</v>
      </c>
      <c r="C14" s="39" t="s">
        <v>446</v>
      </c>
      <c r="D14" s="39" t="s">
        <v>447</v>
      </c>
      <c r="E14" s="39" t="s">
        <v>448</v>
      </c>
      <c r="F14" s="39" t="s">
        <v>449</v>
      </c>
      <c r="G14" s="40" t="s">
        <v>450</v>
      </c>
    </row>
    <row r="15" spans="2:7" ht="21.75" customHeight="1" x14ac:dyDescent="0.3">
      <c r="B15" s="19" t="s">
        <v>451</v>
      </c>
      <c r="C15" s="30">
        <v>0.08</v>
      </c>
      <c r="D15" s="27">
        <v>0.1</v>
      </c>
      <c r="E15" s="30">
        <v>0.13</v>
      </c>
      <c r="F15" s="30">
        <v>0.18</v>
      </c>
      <c r="G15" s="28" t="s">
        <v>452</v>
      </c>
    </row>
    <row r="16" spans="2:7" ht="21.75" customHeight="1" x14ac:dyDescent="0.3">
      <c r="B16" s="19" t="s">
        <v>453</v>
      </c>
      <c r="C16" s="33">
        <v>0.03</v>
      </c>
      <c r="D16" s="27">
        <v>0.05</v>
      </c>
      <c r="E16" s="30">
        <v>7.0000000000000007E-2</v>
      </c>
      <c r="F16" s="30">
        <v>0.1</v>
      </c>
      <c r="G16" s="28" t="s">
        <v>454</v>
      </c>
    </row>
    <row r="17" spans="2:7" ht="21.75" customHeight="1" x14ac:dyDescent="0.3">
      <c r="B17" s="19" t="s">
        <v>455</v>
      </c>
      <c r="C17" s="30">
        <v>0.05</v>
      </c>
      <c r="D17" s="27">
        <v>7.0000000000000007E-2</v>
      </c>
      <c r="E17" s="30">
        <v>0.09</v>
      </c>
      <c r="F17" s="30">
        <v>0.13</v>
      </c>
      <c r="G17" s="28" t="s">
        <v>456</v>
      </c>
    </row>
    <row r="18" spans="2:7" ht="21.75" customHeight="1" x14ac:dyDescent="0.3">
      <c r="B18" s="19" t="s">
        <v>457</v>
      </c>
      <c r="C18" s="33">
        <v>0.02</v>
      </c>
      <c r="D18" s="34">
        <v>2.5000000000000001E-2</v>
      </c>
      <c r="E18" s="33">
        <v>3.5000000000000003E-2</v>
      </c>
      <c r="F18" s="30">
        <v>0.05</v>
      </c>
      <c r="G18" s="28" t="s">
        <v>458</v>
      </c>
    </row>
    <row r="19" spans="2:7" ht="21.75" customHeight="1" x14ac:dyDescent="0.3">
      <c r="B19" s="19" t="s">
        <v>459</v>
      </c>
      <c r="C19" s="33">
        <v>8.0000000000000002E-3</v>
      </c>
      <c r="D19" s="34">
        <v>1.2E-2</v>
      </c>
      <c r="E19" s="33">
        <v>1.7999999999999999E-2</v>
      </c>
      <c r="F19" s="33">
        <v>2.8000000000000001E-2</v>
      </c>
      <c r="G19" s="28" t="s">
        <v>460</v>
      </c>
    </row>
    <row r="20" spans="2:7" ht="21.75" customHeight="1" x14ac:dyDescent="0.3">
      <c r="B20" s="19" t="s">
        <v>461</v>
      </c>
      <c r="C20" s="33">
        <v>1.7999999999999999E-2</v>
      </c>
      <c r="D20" s="34">
        <v>2.1999999999999999E-2</v>
      </c>
      <c r="E20" s="33">
        <v>0.03</v>
      </c>
      <c r="F20" s="30">
        <v>4.4999999999999998E-2</v>
      </c>
      <c r="G20" s="28" t="s">
        <v>462</v>
      </c>
    </row>
    <row r="21" spans="2:7" ht="21.75" customHeight="1" x14ac:dyDescent="0.3">
      <c r="B21" s="19" t="s">
        <v>463</v>
      </c>
      <c r="C21" s="33">
        <v>2.1999999999999999E-2</v>
      </c>
      <c r="D21" s="34">
        <v>2.5000000000000001E-2</v>
      </c>
      <c r="E21" s="33">
        <v>0.03</v>
      </c>
      <c r="F21" s="33">
        <v>3.7999999999999999E-2</v>
      </c>
      <c r="G21" s="28" t="s">
        <v>464</v>
      </c>
    </row>
    <row r="22" spans="2:7" ht="21.75" customHeight="1" x14ac:dyDescent="0.3">
      <c r="B22" s="19" t="s">
        <v>465</v>
      </c>
      <c r="C22" s="33">
        <v>2.5000000000000001E-2</v>
      </c>
      <c r="D22" s="34">
        <v>0.03</v>
      </c>
      <c r="E22" s="33">
        <v>3.7999999999999999E-2</v>
      </c>
      <c r="F22" s="30">
        <v>4.8000000000000001E-2</v>
      </c>
      <c r="G22" s="28" t="s">
        <v>466</v>
      </c>
    </row>
    <row r="23" spans="2:7" ht="21.75" customHeight="1" x14ac:dyDescent="0.3">
      <c r="B23" s="19" t="s">
        <v>467</v>
      </c>
      <c r="C23" s="30">
        <v>4.4999999999999998E-2</v>
      </c>
      <c r="D23" s="27">
        <v>5.5E-2</v>
      </c>
      <c r="E23" s="30">
        <v>6.5000000000000002E-2</v>
      </c>
      <c r="F23" s="30">
        <v>0.08</v>
      </c>
      <c r="G23" s="28" t="s">
        <v>468</v>
      </c>
    </row>
    <row r="24" spans="2:7" ht="21.75" customHeight="1" x14ac:dyDescent="0.3">
      <c r="B24" s="19" t="s">
        <v>469</v>
      </c>
      <c r="C24" s="33">
        <v>0.02</v>
      </c>
      <c r="D24" s="34">
        <v>2.8000000000000001E-2</v>
      </c>
      <c r="E24" s="33">
        <v>3.7999999999999999E-2</v>
      </c>
      <c r="F24" s="30">
        <v>0.05</v>
      </c>
      <c r="G24" s="28" t="s">
        <v>470</v>
      </c>
    </row>
    <row r="25" spans="2:7" ht="21.75" customHeight="1" x14ac:dyDescent="0.3">
      <c r="B25" s="19" t="s">
        <v>471</v>
      </c>
      <c r="C25" s="30">
        <v>0.08</v>
      </c>
      <c r="D25" s="27">
        <v>0.1</v>
      </c>
      <c r="E25" s="30">
        <v>0.13</v>
      </c>
      <c r="F25" s="30">
        <v>0.16</v>
      </c>
      <c r="G25" s="28" t="s">
        <v>472</v>
      </c>
    </row>
    <row r="26" spans="2:7" ht="21.75" customHeight="1" x14ac:dyDescent="0.3">
      <c r="B26" s="19" t="s">
        <v>473</v>
      </c>
      <c r="C26" s="30">
        <v>0.05</v>
      </c>
      <c r="D26" s="27">
        <v>0.06</v>
      </c>
      <c r="E26" s="30">
        <v>0.08</v>
      </c>
      <c r="F26" s="30">
        <v>0.11</v>
      </c>
      <c r="G26" s="28" t="s">
        <v>474</v>
      </c>
    </row>
    <row r="29" spans="2:7" ht="19.5" customHeight="1" x14ac:dyDescent="0.3">
      <c r="B29" s="12" t="s">
        <v>475</v>
      </c>
      <c r="C29" s="12"/>
      <c r="D29" s="12"/>
      <c r="E29" s="12"/>
      <c r="F29" s="12"/>
      <c r="G29" s="12"/>
    </row>
    <row r="30" spans="2:7" ht="30" customHeight="1" x14ac:dyDescent="0.3">
      <c r="B30" s="25" t="s">
        <v>476</v>
      </c>
      <c r="C30" s="25" t="s">
        <v>477</v>
      </c>
      <c r="D30" s="25" t="s">
        <v>478</v>
      </c>
      <c r="E30" s="4" t="s">
        <v>479</v>
      </c>
      <c r="F30" s="4"/>
      <c r="G30" s="4"/>
    </row>
    <row r="31" spans="2:7" ht="66" x14ac:dyDescent="0.3">
      <c r="B31" s="17" t="s">
        <v>439</v>
      </c>
      <c r="C31" s="19" t="s">
        <v>480</v>
      </c>
      <c r="D31" s="19" t="s">
        <v>481</v>
      </c>
      <c r="E31" s="3" t="s">
        <v>482</v>
      </c>
      <c r="F31" s="3"/>
      <c r="G31" s="3"/>
    </row>
    <row r="32" spans="2:7" ht="39.6" x14ac:dyDescent="0.3">
      <c r="B32" s="23" t="s">
        <v>440</v>
      </c>
      <c r="C32" s="41" t="s">
        <v>483</v>
      </c>
      <c r="D32" s="41" t="s">
        <v>484</v>
      </c>
      <c r="E32" s="2" t="s">
        <v>485</v>
      </c>
      <c r="F32" s="2"/>
      <c r="G32" s="2"/>
    </row>
    <row r="33" spans="2:7" ht="52.8" x14ac:dyDescent="0.3">
      <c r="B33" s="17" t="s">
        <v>441</v>
      </c>
      <c r="C33" s="19" t="s">
        <v>486</v>
      </c>
      <c r="D33" s="19" t="s">
        <v>487</v>
      </c>
      <c r="E33" s="3" t="s">
        <v>488</v>
      </c>
      <c r="F33" s="3"/>
      <c r="G33" s="3"/>
    </row>
    <row r="34" spans="2:7" ht="52.8" x14ac:dyDescent="0.3">
      <c r="B34" s="17" t="s">
        <v>442</v>
      </c>
      <c r="C34" s="19" t="s">
        <v>489</v>
      </c>
      <c r="D34" s="19" t="s">
        <v>490</v>
      </c>
      <c r="E34" s="3" t="s">
        <v>491</v>
      </c>
      <c r="F34" s="3"/>
      <c r="G34" s="3"/>
    </row>
  </sheetData>
  <mergeCells count="12">
    <mergeCell ref="E33:G33"/>
    <mergeCell ref="E34:G34"/>
    <mergeCell ref="B13:G13"/>
    <mergeCell ref="B29:G29"/>
    <mergeCell ref="E30:G30"/>
    <mergeCell ref="E31:G31"/>
    <mergeCell ref="E32:G32"/>
    <mergeCell ref="B2:G2"/>
    <mergeCell ref="B3:G3"/>
    <mergeCell ref="B5:G5"/>
    <mergeCell ref="B6:G9"/>
    <mergeCell ref="B11:G11"/>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G29"/>
  <sheetViews>
    <sheetView tabSelected="1" topLeftCell="A16" zoomScaleNormal="100" workbookViewId="0">
      <selection activeCell="F33" sqref="F33"/>
    </sheetView>
  </sheetViews>
  <sheetFormatPr baseColWidth="10" defaultColWidth="8.6640625" defaultRowHeight="14.4" x14ac:dyDescent="0.3"/>
  <cols>
    <col min="1" max="1" width="3" customWidth="1"/>
    <col min="2" max="2" width="32" customWidth="1"/>
    <col min="3" max="5" width="14" customWidth="1"/>
    <col min="6" max="6" width="16" customWidth="1"/>
    <col min="7" max="7" width="30" customWidth="1"/>
  </cols>
  <sheetData>
    <row r="2" spans="2:7" ht="30" customHeight="1" x14ac:dyDescent="0.3">
      <c r="B2" s="14" t="s">
        <v>492</v>
      </c>
      <c r="C2" s="14"/>
      <c r="D2" s="14"/>
      <c r="E2" s="14"/>
      <c r="F2" s="14"/>
      <c r="G2" s="14"/>
    </row>
    <row r="3" spans="2:7" ht="21.75" customHeight="1" x14ac:dyDescent="0.3">
      <c r="B3" s="13" t="s">
        <v>493</v>
      </c>
      <c r="C3" s="13"/>
      <c r="D3" s="13"/>
      <c r="E3" s="13"/>
      <c r="F3" s="13"/>
      <c r="G3" s="13"/>
    </row>
    <row r="5" spans="2:7" ht="19.5" customHeight="1" x14ac:dyDescent="0.3">
      <c r="B5" s="12" t="s">
        <v>494</v>
      </c>
      <c r="C5" s="12"/>
      <c r="D5" s="12"/>
      <c r="E5" s="12"/>
      <c r="F5" s="12"/>
      <c r="G5" s="12"/>
    </row>
    <row r="6" spans="2:7" ht="21.75" customHeight="1" x14ac:dyDescent="0.3">
      <c r="B6" s="10" t="s">
        <v>495</v>
      </c>
      <c r="C6" s="10"/>
      <c r="D6" s="10"/>
      <c r="E6" s="10"/>
      <c r="F6" s="10"/>
      <c r="G6" s="10"/>
    </row>
    <row r="7" spans="2:7" ht="21.75" customHeight="1" x14ac:dyDescent="0.3">
      <c r="B7" s="10"/>
      <c r="C7" s="10"/>
      <c r="D7" s="10"/>
      <c r="E7" s="10"/>
      <c r="F7" s="10"/>
      <c r="G7" s="10"/>
    </row>
    <row r="8" spans="2:7" ht="21.75" customHeight="1" x14ac:dyDescent="0.3">
      <c r="B8" s="10"/>
      <c r="C8" s="10"/>
      <c r="D8" s="10"/>
      <c r="E8" s="10"/>
      <c r="F8" s="10"/>
      <c r="G8" s="10"/>
    </row>
    <row r="9" spans="2:7" ht="21.75" customHeight="1" x14ac:dyDescent="0.3">
      <c r="B9" s="10"/>
      <c r="C9" s="10"/>
      <c r="D9" s="10"/>
      <c r="E9" s="10"/>
      <c r="F9" s="10"/>
      <c r="G9" s="10"/>
    </row>
    <row r="10" spans="2:7" ht="21.75" customHeight="1" x14ac:dyDescent="0.3">
      <c r="B10" s="10"/>
      <c r="C10" s="10"/>
      <c r="D10" s="10"/>
      <c r="E10" s="10"/>
      <c r="F10" s="10"/>
      <c r="G10" s="10"/>
    </row>
    <row r="11" spans="2:7" ht="31.8" customHeight="1" x14ac:dyDescent="0.3">
      <c r="B11" s="10"/>
      <c r="C11" s="10"/>
      <c r="D11" s="10"/>
      <c r="E11" s="10"/>
      <c r="F11" s="10"/>
      <c r="G11" s="10"/>
    </row>
    <row r="13" spans="2:7" ht="19.5" customHeight="1" x14ac:dyDescent="0.3">
      <c r="B13" s="12" t="s">
        <v>496</v>
      </c>
      <c r="C13" s="12"/>
      <c r="D13" s="12"/>
      <c r="E13" s="12"/>
      <c r="F13" s="12"/>
      <c r="G13" s="12"/>
    </row>
    <row r="14" spans="2:7" ht="30" customHeight="1" x14ac:dyDescent="0.3">
      <c r="B14" s="25" t="s">
        <v>267</v>
      </c>
      <c r="C14" s="25" t="s">
        <v>497</v>
      </c>
      <c r="D14" s="25" t="s">
        <v>498</v>
      </c>
      <c r="E14" s="25" t="s">
        <v>499</v>
      </c>
      <c r="F14" s="25" t="s">
        <v>500</v>
      </c>
      <c r="G14" s="25" t="s">
        <v>501</v>
      </c>
    </row>
    <row r="15" spans="2:7" ht="24" customHeight="1" x14ac:dyDescent="0.3">
      <c r="B15" s="19" t="s">
        <v>502</v>
      </c>
      <c r="C15" s="30">
        <v>0.12</v>
      </c>
      <c r="D15" s="29" t="s">
        <v>272</v>
      </c>
      <c r="E15" s="29" t="s">
        <v>273</v>
      </c>
      <c r="F15" s="26">
        <v>0</v>
      </c>
      <c r="G15" s="42" t="s">
        <v>503</v>
      </c>
    </row>
    <row r="16" spans="2:7" ht="24" customHeight="1" x14ac:dyDescent="0.3">
      <c r="B16" s="19" t="s">
        <v>504</v>
      </c>
      <c r="C16" s="30">
        <v>0.1</v>
      </c>
      <c r="D16" s="29" t="s">
        <v>505</v>
      </c>
      <c r="E16" s="29" t="s">
        <v>506</v>
      </c>
      <c r="F16" s="27">
        <v>0.02</v>
      </c>
      <c r="G16" s="42" t="s">
        <v>507</v>
      </c>
    </row>
    <row r="17" spans="2:7" ht="24" customHeight="1" x14ac:dyDescent="0.3">
      <c r="B17" s="19" t="s">
        <v>508</v>
      </c>
      <c r="C17" s="30">
        <v>0.06</v>
      </c>
      <c r="D17" s="29" t="s">
        <v>509</v>
      </c>
      <c r="E17" s="29" t="s">
        <v>510</v>
      </c>
      <c r="F17" s="27">
        <v>0.06</v>
      </c>
      <c r="G17" s="42" t="s">
        <v>511</v>
      </c>
    </row>
    <row r="18" spans="2:7" ht="24" customHeight="1" x14ac:dyDescent="0.3">
      <c r="B18" s="19" t="s">
        <v>512</v>
      </c>
      <c r="C18" s="30">
        <v>0.04</v>
      </c>
      <c r="D18" s="29" t="s">
        <v>513</v>
      </c>
      <c r="E18" s="29" t="s">
        <v>514</v>
      </c>
      <c r="F18" s="27">
        <v>0.08</v>
      </c>
      <c r="G18" s="42" t="s">
        <v>515</v>
      </c>
    </row>
    <row r="19" spans="2:7" ht="24" customHeight="1" x14ac:dyDescent="0.3">
      <c r="B19" s="19" t="s">
        <v>516</v>
      </c>
      <c r="C19" s="30">
        <v>0.03</v>
      </c>
      <c r="D19" s="29" t="s">
        <v>517</v>
      </c>
      <c r="E19" s="29" t="s">
        <v>518</v>
      </c>
      <c r="F19" s="27">
        <v>0.09</v>
      </c>
      <c r="G19" s="42" t="s">
        <v>519</v>
      </c>
    </row>
    <row r="22" spans="2:7" ht="19.5" customHeight="1" x14ac:dyDescent="0.3">
      <c r="B22" s="12" t="s">
        <v>520</v>
      </c>
      <c r="C22" s="12"/>
      <c r="D22" s="12"/>
      <c r="E22" s="12"/>
      <c r="F22" s="12"/>
      <c r="G22" s="12"/>
    </row>
    <row r="23" spans="2:7" ht="41.4" x14ac:dyDescent="0.3">
      <c r="B23" s="25" t="s">
        <v>521</v>
      </c>
      <c r="C23" s="25" t="s">
        <v>522</v>
      </c>
      <c r="D23" s="25" t="s">
        <v>523</v>
      </c>
      <c r="E23" s="4" t="s">
        <v>524</v>
      </c>
      <c r="F23" s="4"/>
      <c r="G23" s="4"/>
    </row>
    <row r="24" spans="2:7" ht="24" customHeight="1" x14ac:dyDescent="0.3">
      <c r="B24" s="18" t="s">
        <v>525</v>
      </c>
      <c r="C24" s="29" t="s">
        <v>526</v>
      </c>
      <c r="D24" s="29" t="s">
        <v>527</v>
      </c>
      <c r="E24" s="1" t="s">
        <v>528</v>
      </c>
      <c r="F24" s="1"/>
      <c r="G24" s="1"/>
    </row>
    <row r="25" spans="2:7" ht="24" customHeight="1" x14ac:dyDescent="0.3">
      <c r="B25" s="18" t="s">
        <v>529</v>
      </c>
      <c r="C25" s="29" t="s">
        <v>530</v>
      </c>
      <c r="D25" s="29" t="s">
        <v>531</v>
      </c>
      <c r="E25" s="1" t="s">
        <v>532</v>
      </c>
      <c r="F25" s="1"/>
      <c r="G25" s="1"/>
    </row>
    <row r="26" spans="2:7" ht="24" customHeight="1" x14ac:dyDescent="0.3">
      <c r="B26" s="18" t="s">
        <v>533</v>
      </c>
      <c r="C26" s="29" t="s">
        <v>534</v>
      </c>
      <c r="D26" s="29" t="s">
        <v>535</v>
      </c>
      <c r="E26" s="1" t="s">
        <v>536</v>
      </c>
      <c r="F26" s="1"/>
      <c r="G26" s="1"/>
    </row>
    <row r="27" spans="2:7" ht="24" customHeight="1" x14ac:dyDescent="0.3">
      <c r="B27" s="18" t="s">
        <v>537</v>
      </c>
      <c r="C27" s="29" t="s">
        <v>538</v>
      </c>
      <c r="D27" s="29" t="s">
        <v>539</v>
      </c>
      <c r="E27" s="1" t="s">
        <v>540</v>
      </c>
      <c r="F27" s="1"/>
      <c r="G27" s="1"/>
    </row>
    <row r="28" spans="2:7" ht="24" customHeight="1" x14ac:dyDescent="0.3">
      <c r="B28" s="18" t="s">
        <v>541</v>
      </c>
      <c r="C28" s="29" t="s">
        <v>542</v>
      </c>
      <c r="D28" s="29" t="s">
        <v>543</v>
      </c>
      <c r="E28" s="1" t="s">
        <v>544</v>
      </c>
      <c r="F28" s="1"/>
      <c r="G28" s="1"/>
    </row>
    <row r="29" spans="2:7" ht="24" customHeight="1" x14ac:dyDescent="0.3">
      <c r="B29" s="18" t="s">
        <v>545</v>
      </c>
      <c r="C29" s="29" t="s">
        <v>546</v>
      </c>
      <c r="D29" s="29" t="s">
        <v>547</v>
      </c>
      <c r="E29" s="1" t="s">
        <v>548</v>
      </c>
      <c r="F29" s="1"/>
      <c r="G29" s="1"/>
    </row>
  </sheetData>
  <mergeCells count="13">
    <mergeCell ref="E27:G27"/>
    <mergeCell ref="E28:G28"/>
    <mergeCell ref="E29:G29"/>
    <mergeCell ref="B22:G22"/>
    <mergeCell ref="E23:G23"/>
    <mergeCell ref="E24:G24"/>
    <mergeCell ref="E25:G25"/>
    <mergeCell ref="E26:G26"/>
    <mergeCell ref="B2:G2"/>
    <mergeCell ref="B3:G3"/>
    <mergeCell ref="B5:G5"/>
    <mergeCell ref="B6:G11"/>
    <mergeCell ref="B13:G13"/>
  </mergeCells>
  <pageMargins left="0.75" right="0.75" top="1" bottom="1" header="0.511811023622047" footer="0.511811023622047"/>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F47"/>
  <sheetViews>
    <sheetView zoomScaleNormal="100" workbookViewId="0"/>
  </sheetViews>
  <sheetFormatPr baseColWidth="10" defaultColWidth="8.6640625" defaultRowHeight="14.4" x14ac:dyDescent="0.3"/>
  <cols>
    <col min="1" max="1" width="3" customWidth="1"/>
    <col min="2" max="2" width="35" customWidth="1"/>
    <col min="3" max="5" width="18" customWidth="1"/>
    <col min="6" max="6" width="30" customWidth="1"/>
  </cols>
  <sheetData>
    <row r="2" spans="2:6" ht="30" customHeight="1" x14ac:dyDescent="0.3">
      <c r="B2" s="14" t="s">
        <v>549</v>
      </c>
      <c r="C2" s="14"/>
      <c r="D2" s="14"/>
      <c r="E2" s="14"/>
      <c r="F2" s="14"/>
    </row>
    <row r="3" spans="2:6" ht="21.75" customHeight="1" x14ac:dyDescent="0.3">
      <c r="B3" s="13" t="s">
        <v>550</v>
      </c>
      <c r="C3" s="13"/>
      <c r="D3" s="13"/>
      <c r="E3" s="13"/>
      <c r="F3" s="13"/>
    </row>
    <row r="5" spans="2:6" ht="19.5" customHeight="1" x14ac:dyDescent="0.3">
      <c r="B5" s="12" t="s">
        <v>551</v>
      </c>
      <c r="C5" s="12"/>
      <c r="D5" s="12"/>
      <c r="E5" s="12"/>
      <c r="F5" s="12"/>
    </row>
    <row r="6" spans="2:6" ht="21.75" customHeight="1" x14ac:dyDescent="0.3">
      <c r="B6" s="25" t="s">
        <v>61</v>
      </c>
      <c r="C6" s="25" t="s">
        <v>552</v>
      </c>
      <c r="D6" s="25" t="s">
        <v>553</v>
      </c>
      <c r="E6" s="71" t="s">
        <v>412</v>
      </c>
      <c r="F6" s="71"/>
    </row>
    <row r="7" spans="2:6" ht="19.5" customHeight="1" x14ac:dyDescent="0.3">
      <c r="B7" s="19" t="s">
        <v>554</v>
      </c>
      <c r="C7" s="43">
        <v>100</v>
      </c>
      <c r="D7" s="29" t="s">
        <v>555</v>
      </c>
      <c r="E7" s="72" t="s">
        <v>556</v>
      </c>
      <c r="F7" s="72"/>
    </row>
    <row r="8" spans="2:6" ht="26.4" x14ac:dyDescent="0.3">
      <c r="B8" s="19" t="s">
        <v>557</v>
      </c>
      <c r="C8" s="45">
        <v>1</v>
      </c>
      <c r="D8" s="29" t="s">
        <v>450</v>
      </c>
      <c r="E8" s="72" t="s">
        <v>558</v>
      </c>
      <c r="F8" s="72"/>
    </row>
    <row r="9" spans="2:6" ht="19.5" customHeight="1" x14ac:dyDescent="0.3">
      <c r="B9" s="19" t="s">
        <v>559</v>
      </c>
      <c r="C9" s="45">
        <v>40</v>
      </c>
      <c r="D9" s="29" t="s">
        <v>560</v>
      </c>
      <c r="E9" s="72" t="s">
        <v>561</v>
      </c>
      <c r="F9" s="72"/>
    </row>
    <row r="10" spans="2:6" ht="19.5" customHeight="1" x14ac:dyDescent="0.3">
      <c r="B10" s="19" t="s">
        <v>562</v>
      </c>
      <c r="C10" s="45">
        <v>0</v>
      </c>
      <c r="D10" s="29" t="s">
        <v>450</v>
      </c>
      <c r="E10" s="72" t="s">
        <v>563</v>
      </c>
      <c r="F10" s="72"/>
    </row>
    <row r="11" spans="2:6" ht="26.4" x14ac:dyDescent="0.3">
      <c r="B11" s="19" t="s">
        <v>564</v>
      </c>
      <c r="C11" s="45">
        <v>0</v>
      </c>
      <c r="D11" s="29" t="s">
        <v>450</v>
      </c>
      <c r="E11" s="72" t="s">
        <v>565</v>
      </c>
      <c r="F11" s="72"/>
    </row>
    <row r="13" spans="2:6" ht="19.5" customHeight="1" x14ac:dyDescent="0.3">
      <c r="B13" s="12" t="s">
        <v>566</v>
      </c>
      <c r="C13" s="12"/>
      <c r="D13" s="12"/>
      <c r="E13" s="12"/>
      <c r="F13" s="12"/>
    </row>
    <row r="14" spans="2:6" ht="21.75" customHeight="1" x14ac:dyDescent="0.3">
      <c r="B14" s="25" t="s">
        <v>567</v>
      </c>
      <c r="C14" s="25" t="s">
        <v>568</v>
      </c>
      <c r="D14" s="25" t="s">
        <v>569</v>
      </c>
      <c r="E14" s="25" t="s">
        <v>450</v>
      </c>
      <c r="F14" s="25" t="s">
        <v>412</v>
      </c>
    </row>
    <row r="15" spans="2:6" ht="26.4" x14ac:dyDescent="0.3">
      <c r="B15" s="19" t="s">
        <v>570</v>
      </c>
      <c r="C15" s="46">
        <v>0.45</v>
      </c>
      <c r="D15" s="47">
        <f>C15*C7</f>
        <v>45</v>
      </c>
      <c r="E15" s="72" t="s">
        <v>571</v>
      </c>
      <c r="F15" s="72"/>
    </row>
    <row r="16" spans="2:6" ht="19.5" customHeight="1" x14ac:dyDescent="0.3">
      <c r="B16" s="19" t="s">
        <v>572</v>
      </c>
      <c r="C16" s="46">
        <v>0.4</v>
      </c>
      <c r="D16" s="47">
        <f>C16*C7</f>
        <v>40</v>
      </c>
      <c r="E16" s="72" t="s">
        <v>573</v>
      </c>
      <c r="F16" s="72"/>
    </row>
    <row r="17" spans="2:6" ht="19.5" customHeight="1" x14ac:dyDescent="0.3">
      <c r="B17" s="19" t="s">
        <v>574</v>
      </c>
      <c r="C17" s="46">
        <v>0.15</v>
      </c>
      <c r="D17" s="47">
        <f>C17*C7</f>
        <v>15</v>
      </c>
      <c r="E17" s="72" t="s">
        <v>575</v>
      </c>
      <c r="F17" s="72"/>
    </row>
    <row r="18" spans="2:6" ht="21.75" customHeight="1" x14ac:dyDescent="0.3">
      <c r="B18" s="48" t="s">
        <v>576</v>
      </c>
      <c r="C18" s="49">
        <f>SUM(C15:C17)</f>
        <v>1</v>
      </c>
      <c r="D18" s="50">
        <f>SUM(D15:D17)</f>
        <v>100</v>
      </c>
      <c r="E18" s="51"/>
      <c r="F18" s="51"/>
    </row>
    <row r="20" spans="2:6" ht="19.5" customHeight="1" x14ac:dyDescent="0.3">
      <c r="B20" s="12" t="s">
        <v>577</v>
      </c>
      <c r="C20" s="12"/>
      <c r="D20" s="12"/>
      <c r="E20" s="12"/>
      <c r="F20" s="12"/>
    </row>
    <row r="21" spans="2:6" ht="21.75" customHeight="1" x14ac:dyDescent="0.3">
      <c r="B21" s="25" t="s">
        <v>61</v>
      </c>
      <c r="C21" s="25" t="s">
        <v>578</v>
      </c>
      <c r="D21" s="25" t="s">
        <v>579</v>
      </c>
      <c r="E21" s="25" t="s">
        <v>580</v>
      </c>
      <c r="F21" s="25" t="s">
        <v>443</v>
      </c>
    </row>
    <row r="22" spans="2:6" ht="19.5" customHeight="1" x14ac:dyDescent="0.3">
      <c r="B22" s="52" t="s">
        <v>581</v>
      </c>
      <c r="C22" s="53">
        <f>IF(C10=1,IF(C9&lt;=24,0.05,IF(C9&lt;=40,0.06,IF(C9&lt;=60,0.08,0.1))),IF(C9&lt;=24,0.08,IF(C9&lt;=40,0.1,IF(C9&lt;=60,0.13,0.18))))</f>
        <v>0.1</v>
      </c>
      <c r="D22" s="54">
        <f>D15*C22</f>
        <v>4.5</v>
      </c>
      <c r="E22" s="54">
        <f>D15+D22</f>
        <v>49.5</v>
      </c>
      <c r="F22" s="44" t="s">
        <v>582</v>
      </c>
    </row>
    <row r="23" spans="2:6" ht="19.5" customHeight="1" x14ac:dyDescent="0.3">
      <c r="B23" s="52" t="s">
        <v>583</v>
      </c>
      <c r="C23" s="53">
        <f>IF(C9&lt;=24,0.03,IF(C9&lt;=40,0.05,IF(C9&lt;=60,0.07,0.1)))</f>
        <v>0.05</v>
      </c>
      <c r="D23" s="54">
        <f>D16*C23</f>
        <v>2</v>
      </c>
      <c r="E23" s="54">
        <f>D16+D23</f>
        <v>42</v>
      </c>
      <c r="F23" s="44" t="s">
        <v>584</v>
      </c>
    </row>
    <row r="24" spans="2:6" ht="19.5" customHeight="1" x14ac:dyDescent="0.3">
      <c r="B24" s="52" t="s">
        <v>585</v>
      </c>
      <c r="C24" s="53">
        <f>IF(C9&lt;=24,0.05,IF(C9&lt;=40,0.07,IF(C9&lt;=60,0.09,0.13)))</f>
        <v>7.0000000000000007E-2</v>
      </c>
      <c r="D24" s="54">
        <f>D17*C24</f>
        <v>1.05</v>
      </c>
      <c r="E24" s="54">
        <f>D17+D24</f>
        <v>16.05</v>
      </c>
      <c r="F24" s="44" t="s">
        <v>584</v>
      </c>
    </row>
    <row r="25" spans="2:6" ht="19.5" customHeight="1" x14ac:dyDescent="0.3">
      <c r="B25" s="52" t="s">
        <v>586</v>
      </c>
      <c r="C25" s="55">
        <f>IF(OR(C8=1,C8=3),IF(C9&lt;=24,0.02,IF(C9&lt;=40,0.025,IF(C9&lt;=60,0.035,0.05))),0)</f>
        <v>2.5000000000000001E-2</v>
      </c>
      <c r="D25" s="54">
        <f>C7*C25</f>
        <v>2.5</v>
      </c>
      <c r="E25" s="56"/>
      <c r="F25" s="44" t="s">
        <v>587</v>
      </c>
    </row>
    <row r="26" spans="2:6" ht="19.5" customHeight="1" x14ac:dyDescent="0.3">
      <c r="B26" s="52" t="s">
        <v>588</v>
      </c>
      <c r="C26" s="55">
        <f>IF(C8=1,IF(C9&lt;=24,0.008,IF(C9&lt;=40,0.012,IF(C9&lt;=60,0.018,0.028))),IF(C8=2,IF(C9&lt;=24,0.018,IF(C9&lt;=40,0.022,IF(C9&lt;=60,0.03,0.045))),IF(C9&lt;=24,0.013,IF(C9&lt;=40,0.017,IF(C9&lt;=60,0.024,0.036)))))</f>
        <v>1.2E-2</v>
      </c>
      <c r="D26" s="54">
        <f>C7*C26</f>
        <v>1.2</v>
      </c>
      <c r="E26" s="56"/>
      <c r="F26" s="44" t="s">
        <v>589</v>
      </c>
    </row>
    <row r="27" spans="2:6" ht="19.5" customHeight="1" x14ac:dyDescent="0.3">
      <c r="B27" s="52" t="s">
        <v>590</v>
      </c>
      <c r="C27" s="55">
        <f>IF(C11=0,0,IF(C11=3,0.025,IF(C11=4,0.03,IF(C11=5,0.055,0))))</f>
        <v>0</v>
      </c>
      <c r="D27" s="54">
        <f>D15*0.5*C27</f>
        <v>0</v>
      </c>
      <c r="E27" s="56"/>
      <c r="F27" s="44" t="s">
        <v>591</v>
      </c>
    </row>
    <row r="28" spans="2:6" ht="19.5" customHeight="1" x14ac:dyDescent="0.3">
      <c r="B28" s="52" t="s">
        <v>592</v>
      </c>
      <c r="C28" s="53">
        <f>IF(C8=1,IF(C9&lt;=24,0.08,IF(C9&lt;=40,0.1,IF(C9&lt;=60,0.13,0.16))),IF(C8=2,IF(C9&lt;=24,0.05,IF(C9&lt;=40,0.06,IF(C9&lt;=60,0.08,0.11))),IF(C9&lt;=24,0.06,IF(C9&lt;=40,0.08,IF(C9&lt;=60,0.1,0.13)))))</f>
        <v>0.1</v>
      </c>
      <c r="D28" s="54">
        <f>C7*C28</f>
        <v>10</v>
      </c>
      <c r="E28" s="56"/>
      <c r="F28" s="44" t="s">
        <v>593</v>
      </c>
    </row>
    <row r="31" spans="2:6" ht="19.5" customHeight="1" x14ac:dyDescent="0.3">
      <c r="B31" s="12" t="s">
        <v>594</v>
      </c>
      <c r="C31" s="12"/>
      <c r="D31" s="12"/>
      <c r="E31" s="12"/>
      <c r="F31" s="12"/>
    </row>
    <row r="32" spans="2:6" ht="21.75" customHeight="1" x14ac:dyDescent="0.3">
      <c r="B32" s="19" t="s">
        <v>595</v>
      </c>
      <c r="C32" s="54">
        <f>C7</f>
        <v>100</v>
      </c>
      <c r="D32" s="29" t="s">
        <v>555</v>
      </c>
      <c r="E32" s="31"/>
      <c r="F32" s="31"/>
    </row>
    <row r="33" spans="2:6" ht="26.4" x14ac:dyDescent="0.3">
      <c r="B33" s="19" t="s">
        <v>596</v>
      </c>
      <c r="C33" s="54">
        <f>D22+D23+D24</f>
        <v>7.55</v>
      </c>
      <c r="D33" s="40" t="s">
        <v>555</v>
      </c>
      <c r="E33" s="31"/>
      <c r="F33" s="31"/>
    </row>
    <row r="34" spans="2:6" x14ac:dyDescent="0.3">
      <c r="B34" s="19" t="s">
        <v>597</v>
      </c>
      <c r="C34" s="54">
        <f>D25</f>
        <v>2.5</v>
      </c>
      <c r="D34" s="40" t="s">
        <v>555</v>
      </c>
      <c r="E34" s="31"/>
      <c r="F34" s="31"/>
    </row>
    <row r="35" spans="2:6" ht="26.4" x14ac:dyDescent="0.3">
      <c r="B35" s="19" t="s">
        <v>598</v>
      </c>
      <c r="C35" s="54">
        <f>D26+D27</f>
        <v>1.2</v>
      </c>
      <c r="D35" s="40" t="s">
        <v>555</v>
      </c>
      <c r="E35" s="31"/>
      <c r="F35" s="31"/>
    </row>
    <row r="36" spans="2:6" x14ac:dyDescent="0.3">
      <c r="B36" s="19" t="s">
        <v>599</v>
      </c>
      <c r="C36" s="54">
        <f>D28</f>
        <v>10</v>
      </c>
      <c r="D36" s="40" t="s">
        <v>555</v>
      </c>
      <c r="E36" s="31"/>
      <c r="F36" s="31"/>
    </row>
    <row r="37" spans="2:6" ht="24" customHeight="1" x14ac:dyDescent="0.3">
      <c r="B37" s="57" t="s">
        <v>600</v>
      </c>
      <c r="C37" s="58">
        <f>C7+D25+D26+D27+D28</f>
        <v>113.7</v>
      </c>
      <c r="D37" s="59" t="s">
        <v>555</v>
      </c>
      <c r="E37" s="51"/>
      <c r="F37" s="51"/>
    </row>
    <row r="38" spans="2:6" ht="24" customHeight="1" x14ac:dyDescent="0.3">
      <c r="B38" s="60" t="s">
        <v>601</v>
      </c>
      <c r="C38" s="61">
        <f>C37+C33</f>
        <v>121.25</v>
      </c>
      <c r="D38" s="62" t="s">
        <v>555</v>
      </c>
      <c r="E38" s="63"/>
      <c r="F38" s="63"/>
    </row>
    <row r="39" spans="2:6" ht="24" customHeight="1" x14ac:dyDescent="0.3">
      <c r="B39" s="64" t="s">
        <v>602</v>
      </c>
      <c r="C39" s="65">
        <f>C38/C7</f>
        <v>1.2124999999999999</v>
      </c>
      <c r="D39" s="66" t="s">
        <v>603</v>
      </c>
      <c r="E39" s="73" t="s">
        <v>604</v>
      </c>
      <c r="F39" s="73"/>
    </row>
    <row r="41" spans="2:6" ht="19.5" customHeight="1" x14ac:dyDescent="0.3">
      <c r="B41" s="12" t="s">
        <v>605</v>
      </c>
      <c r="C41" s="12"/>
      <c r="D41" s="12"/>
      <c r="E41" s="12"/>
      <c r="F41" s="12"/>
    </row>
    <row r="42" spans="2:6" ht="19.5" customHeight="1" x14ac:dyDescent="0.3">
      <c r="B42" s="10" t="s">
        <v>606</v>
      </c>
      <c r="C42" s="10"/>
      <c r="D42" s="10"/>
      <c r="E42" s="10"/>
      <c r="F42" s="10"/>
    </row>
    <row r="43" spans="2:6" ht="19.5" customHeight="1" x14ac:dyDescent="0.3">
      <c r="B43" s="10"/>
      <c r="C43" s="10"/>
      <c r="D43" s="10"/>
      <c r="E43" s="10"/>
      <c r="F43" s="10"/>
    </row>
    <row r="44" spans="2:6" ht="19.5" customHeight="1" x14ac:dyDescent="0.3">
      <c r="B44" s="10"/>
      <c r="C44" s="10"/>
      <c r="D44" s="10"/>
      <c r="E44" s="10"/>
      <c r="F44" s="10"/>
    </row>
    <row r="45" spans="2:6" ht="19.5" customHeight="1" x14ac:dyDescent="0.3">
      <c r="B45" s="10"/>
      <c r="C45" s="10"/>
      <c r="D45" s="10"/>
      <c r="E45" s="10"/>
      <c r="F45" s="10"/>
    </row>
    <row r="46" spans="2:6" ht="19.5" customHeight="1" x14ac:dyDescent="0.3">
      <c r="B46" s="10"/>
      <c r="C46" s="10"/>
      <c r="D46" s="10"/>
      <c r="E46" s="10"/>
      <c r="F46" s="10"/>
    </row>
    <row r="47" spans="2:6" ht="19.5" customHeight="1" x14ac:dyDescent="0.3">
      <c r="B47" s="10"/>
      <c r="C47" s="10"/>
      <c r="D47" s="10"/>
      <c r="E47" s="10"/>
      <c r="F47" s="10"/>
    </row>
  </sheetData>
  <mergeCells count="18">
    <mergeCell ref="E39:F39"/>
    <mergeCell ref="B41:F41"/>
    <mergeCell ref="B42:F47"/>
    <mergeCell ref="E15:F15"/>
    <mergeCell ref="E16:F16"/>
    <mergeCell ref="E17:F17"/>
    <mergeCell ref="B20:F20"/>
    <mergeCell ref="B31:F31"/>
    <mergeCell ref="E8:F8"/>
    <mergeCell ref="E9:F9"/>
    <mergeCell ref="E10:F10"/>
    <mergeCell ref="E11:F11"/>
    <mergeCell ref="B13:F13"/>
    <mergeCell ref="B2:F2"/>
    <mergeCell ref="B3:F3"/>
    <mergeCell ref="B5:F5"/>
    <mergeCell ref="E6:F6"/>
    <mergeCell ref="E7:F7"/>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B55"/>
  <sheetViews>
    <sheetView zoomScaleNormal="100" workbookViewId="0"/>
  </sheetViews>
  <sheetFormatPr baseColWidth="10" defaultColWidth="8.6640625" defaultRowHeight="14.4" x14ac:dyDescent="0.3"/>
  <cols>
    <col min="1" max="1" width="3" customWidth="1"/>
    <col min="2" max="2" width="80" customWidth="1"/>
    <col min="3" max="3" width="3" customWidth="1"/>
  </cols>
  <sheetData>
    <row r="2" spans="2:2" ht="30" customHeight="1" x14ac:dyDescent="0.3">
      <c r="B2" s="67" t="s">
        <v>607</v>
      </c>
    </row>
    <row r="3" spans="2:2" ht="21.75" customHeight="1" x14ac:dyDescent="0.3">
      <c r="B3" s="68" t="s">
        <v>41</v>
      </c>
    </row>
    <row r="5" spans="2:2" ht="19.5" customHeight="1" x14ac:dyDescent="0.3">
      <c r="B5" s="69" t="s">
        <v>608</v>
      </c>
    </row>
    <row r="6" spans="2:2" ht="72" customHeight="1" x14ac:dyDescent="0.3">
      <c r="B6" s="70" t="s">
        <v>609</v>
      </c>
    </row>
    <row r="7" spans="2:2" ht="75" customHeight="1" x14ac:dyDescent="0.3">
      <c r="B7" s="70" t="s">
        <v>610</v>
      </c>
    </row>
    <row r="8" spans="2:2" ht="51.75" customHeight="1" x14ac:dyDescent="0.3">
      <c r="B8" s="70" t="s">
        <v>611</v>
      </c>
    </row>
    <row r="9" spans="2:2" ht="45" customHeight="1" x14ac:dyDescent="0.3">
      <c r="B9" s="70" t="s">
        <v>612</v>
      </c>
    </row>
    <row r="10" spans="2:2" ht="34.5" customHeight="1" x14ac:dyDescent="0.3">
      <c r="B10" s="70" t="s">
        <v>613</v>
      </c>
    </row>
    <row r="11" spans="2:2" ht="48" customHeight="1" x14ac:dyDescent="0.3">
      <c r="B11" s="70" t="s">
        <v>614</v>
      </c>
    </row>
    <row r="13" spans="2:2" ht="19.5" customHeight="1" x14ac:dyDescent="0.3">
      <c r="B13" s="69" t="s">
        <v>615</v>
      </c>
    </row>
    <row r="14" spans="2:2" ht="37.5" customHeight="1" x14ac:dyDescent="0.3">
      <c r="B14" s="70" t="s">
        <v>616</v>
      </c>
    </row>
    <row r="15" spans="2:2" ht="42.75" customHeight="1" x14ac:dyDescent="0.3">
      <c r="B15" s="70" t="s">
        <v>617</v>
      </c>
    </row>
    <row r="16" spans="2:2" ht="54.75" customHeight="1" x14ac:dyDescent="0.3">
      <c r="B16" s="70" t="s">
        <v>618</v>
      </c>
    </row>
    <row r="17" spans="2:2" ht="45" customHeight="1" x14ac:dyDescent="0.3">
      <c r="B17" s="70" t="s">
        <v>619</v>
      </c>
    </row>
    <row r="18" spans="2:2" ht="42.75" customHeight="1" x14ac:dyDescent="0.3">
      <c r="B18" s="70" t="s">
        <v>620</v>
      </c>
    </row>
    <row r="19" spans="2:2" ht="51" customHeight="1" x14ac:dyDescent="0.3">
      <c r="B19" s="70" t="s">
        <v>621</v>
      </c>
    </row>
    <row r="21" spans="2:2" ht="19.5" customHeight="1" x14ac:dyDescent="0.3">
      <c r="B21" s="69" t="s">
        <v>622</v>
      </c>
    </row>
    <row r="22" spans="2:2" ht="40.5" customHeight="1" x14ac:dyDescent="0.3">
      <c r="B22" s="70" t="s">
        <v>623</v>
      </c>
    </row>
    <row r="23" spans="2:2" ht="51.75" customHeight="1" x14ac:dyDescent="0.3">
      <c r="B23" s="70" t="s">
        <v>624</v>
      </c>
    </row>
    <row r="24" spans="2:2" ht="54.75" customHeight="1" x14ac:dyDescent="0.3">
      <c r="B24" s="70" t="s">
        <v>625</v>
      </c>
    </row>
    <row r="25" spans="2:2" ht="39" customHeight="1" x14ac:dyDescent="0.3">
      <c r="B25" s="70" t="s">
        <v>626</v>
      </c>
    </row>
    <row r="26" spans="2:2" ht="54.75" customHeight="1" x14ac:dyDescent="0.3">
      <c r="B26" s="70" t="s">
        <v>627</v>
      </c>
    </row>
    <row r="27" spans="2:2" ht="52.5" customHeight="1" x14ac:dyDescent="0.3">
      <c r="B27" s="70" t="s">
        <v>628</v>
      </c>
    </row>
    <row r="29" spans="2:2" ht="19.5" customHeight="1" x14ac:dyDescent="0.3">
      <c r="B29" s="69" t="s">
        <v>629</v>
      </c>
    </row>
    <row r="30" spans="2:2" ht="27" customHeight="1" x14ac:dyDescent="0.3">
      <c r="B30" s="70" t="s">
        <v>630</v>
      </c>
    </row>
    <row r="31" spans="2:2" ht="22.5" customHeight="1" x14ac:dyDescent="0.3">
      <c r="B31" s="70" t="s">
        <v>631</v>
      </c>
    </row>
    <row r="32" spans="2:2" ht="19.5" customHeight="1" x14ac:dyDescent="0.3">
      <c r="B32" s="70" t="s">
        <v>632</v>
      </c>
    </row>
    <row r="33" spans="2:2" ht="19.5" customHeight="1" x14ac:dyDescent="0.3">
      <c r="B33" s="70" t="s">
        <v>633</v>
      </c>
    </row>
    <row r="34" spans="2:2" ht="33.75" customHeight="1" x14ac:dyDescent="0.3">
      <c r="B34" s="70" t="s">
        <v>634</v>
      </c>
    </row>
    <row r="35" spans="2:2" ht="28.5" customHeight="1" x14ac:dyDescent="0.3">
      <c r="B35" s="70" t="s">
        <v>635</v>
      </c>
    </row>
    <row r="36" spans="2:2" ht="36" customHeight="1" x14ac:dyDescent="0.3">
      <c r="B36" s="70" t="s">
        <v>636</v>
      </c>
    </row>
    <row r="38" spans="2:2" ht="19.5" customHeight="1" x14ac:dyDescent="0.3">
      <c r="B38" s="69" t="s">
        <v>637</v>
      </c>
    </row>
    <row r="39" spans="2:2" ht="33" customHeight="1" x14ac:dyDescent="0.3">
      <c r="B39" s="70" t="s">
        <v>638</v>
      </c>
    </row>
    <row r="40" spans="2:2" ht="30" customHeight="1" x14ac:dyDescent="0.3">
      <c r="B40" s="70" t="s">
        <v>639</v>
      </c>
    </row>
    <row r="41" spans="2:2" ht="30" customHeight="1" x14ac:dyDescent="0.3">
      <c r="B41" s="70" t="s">
        <v>640</v>
      </c>
    </row>
    <row r="42" spans="2:2" ht="28.5" customHeight="1" x14ac:dyDescent="0.3">
      <c r="B42" s="70" t="s">
        <v>641</v>
      </c>
    </row>
    <row r="43" spans="2:2" ht="22.5" customHeight="1" x14ac:dyDescent="0.3">
      <c r="B43" s="70" t="s">
        <v>642</v>
      </c>
    </row>
    <row r="44" spans="2:2" ht="24.75" customHeight="1" x14ac:dyDescent="0.3">
      <c r="B44" s="70" t="s">
        <v>643</v>
      </c>
    </row>
    <row r="45" spans="2:2" ht="24.75" customHeight="1" x14ac:dyDescent="0.3">
      <c r="B45" s="70" t="s">
        <v>644</v>
      </c>
    </row>
    <row r="46" spans="2:2" ht="24.75" customHeight="1" x14ac:dyDescent="0.3">
      <c r="B46" s="70" t="s">
        <v>645</v>
      </c>
    </row>
    <row r="47" spans="2:2" ht="27.75" customHeight="1" x14ac:dyDescent="0.3">
      <c r="B47" s="70" t="s">
        <v>646</v>
      </c>
    </row>
    <row r="48" spans="2:2" ht="25.5" customHeight="1" x14ac:dyDescent="0.3">
      <c r="B48" s="70" t="s">
        <v>647</v>
      </c>
    </row>
    <row r="49" spans="2:2" ht="27.75" customHeight="1" x14ac:dyDescent="0.3">
      <c r="B49" s="70" t="s">
        <v>648</v>
      </c>
    </row>
    <row r="50" spans="2:2" ht="27.75" customHeight="1" x14ac:dyDescent="0.3">
      <c r="B50" s="70" t="s">
        <v>649</v>
      </c>
    </row>
    <row r="51" spans="2:2" ht="27.75" customHeight="1" x14ac:dyDescent="0.3">
      <c r="B51" s="70" t="s">
        <v>650</v>
      </c>
    </row>
    <row r="52" spans="2:2" ht="25.5" customHeight="1" x14ac:dyDescent="0.3">
      <c r="B52" s="70" t="s">
        <v>651</v>
      </c>
    </row>
    <row r="54" spans="2:2" ht="19.5" customHeight="1" x14ac:dyDescent="0.3">
      <c r="B54" s="69" t="s">
        <v>652</v>
      </c>
    </row>
    <row r="55" spans="2:2" ht="78" customHeight="1" x14ac:dyDescent="0.3">
      <c r="B55" s="70" t="s">
        <v>653</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D57"/>
  <sheetViews>
    <sheetView topLeftCell="A31" zoomScaleNormal="100" workbookViewId="0"/>
  </sheetViews>
  <sheetFormatPr baseColWidth="10" defaultColWidth="8.6640625" defaultRowHeight="14.4" x14ac:dyDescent="0.3"/>
  <cols>
    <col min="1" max="1" width="3" customWidth="1"/>
    <col min="2" max="2" width="22" customWidth="1"/>
    <col min="3" max="3" width="35" customWidth="1"/>
    <col min="4" max="4" width="50" customWidth="1"/>
    <col min="5" max="5" width="3" customWidth="1"/>
  </cols>
  <sheetData>
    <row r="2" spans="2:4" ht="30" customHeight="1" x14ac:dyDescent="0.3">
      <c r="B2" s="14" t="s">
        <v>654</v>
      </c>
      <c r="C2" s="14"/>
      <c r="D2" s="14"/>
    </row>
    <row r="3" spans="2:4" ht="21.75" customHeight="1" x14ac:dyDescent="0.3">
      <c r="B3" s="13" t="s">
        <v>655</v>
      </c>
      <c r="C3" s="13"/>
      <c r="D3" s="13"/>
    </row>
    <row r="5" spans="2:4" ht="19.5" customHeight="1" x14ac:dyDescent="0.3">
      <c r="B5" s="12" t="s">
        <v>656</v>
      </c>
      <c r="C5" s="12"/>
      <c r="D5" s="12"/>
    </row>
    <row r="6" spans="2:4" ht="30" customHeight="1" x14ac:dyDescent="0.3">
      <c r="B6" s="25" t="s">
        <v>657</v>
      </c>
      <c r="C6" s="25" t="s">
        <v>658</v>
      </c>
      <c r="D6" s="25" t="s">
        <v>659</v>
      </c>
    </row>
    <row r="7" spans="2:4" ht="57" x14ac:dyDescent="0.3">
      <c r="B7" s="18" t="s">
        <v>660</v>
      </c>
      <c r="C7" s="19" t="s">
        <v>661</v>
      </c>
      <c r="D7" s="28" t="s">
        <v>662</v>
      </c>
    </row>
    <row r="8" spans="2:4" ht="34.200000000000003" x14ac:dyDescent="0.3">
      <c r="B8" s="18" t="s">
        <v>663</v>
      </c>
      <c r="C8" s="19" t="s">
        <v>664</v>
      </c>
      <c r="D8" s="28" t="s">
        <v>665</v>
      </c>
    </row>
    <row r="9" spans="2:4" ht="34.200000000000003" x14ac:dyDescent="0.3">
      <c r="B9" s="18" t="s">
        <v>666</v>
      </c>
      <c r="C9" s="19" t="s">
        <v>667</v>
      </c>
      <c r="D9" s="28" t="s">
        <v>668</v>
      </c>
    </row>
    <row r="10" spans="2:4" ht="26.4" x14ac:dyDescent="0.3">
      <c r="B10" s="18" t="s">
        <v>669</v>
      </c>
      <c r="C10" s="19" t="s">
        <v>670</v>
      </c>
      <c r="D10" s="28" t="s">
        <v>671</v>
      </c>
    </row>
    <row r="11" spans="2:4" ht="26.4" x14ac:dyDescent="0.3">
      <c r="B11" s="18" t="s">
        <v>672</v>
      </c>
      <c r="C11" s="19" t="s">
        <v>673</v>
      </c>
      <c r="D11" s="28" t="s">
        <v>674</v>
      </c>
    </row>
    <row r="12" spans="2:4" ht="24" customHeight="1" x14ac:dyDescent="0.3">
      <c r="B12" s="18" t="s">
        <v>675</v>
      </c>
      <c r="C12" s="19" t="s">
        <v>676</v>
      </c>
      <c r="D12" s="28" t="s">
        <v>677</v>
      </c>
    </row>
    <row r="13" spans="2:4" ht="26.4" x14ac:dyDescent="0.3">
      <c r="B13" s="18" t="s">
        <v>678</v>
      </c>
      <c r="C13" s="19" t="s">
        <v>679</v>
      </c>
      <c r="D13" s="28" t="s">
        <v>680</v>
      </c>
    </row>
    <row r="14" spans="2:4" ht="34.200000000000003" x14ac:dyDescent="0.3">
      <c r="B14" s="18" t="s">
        <v>681</v>
      </c>
      <c r="C14" s="19" t="s">
        <v>682</v>
      </c>
      <c r="D14" s="28" t="s">
        <v>683</v>
      </c>
    </row>
    <row r="15" spans="2:4" x14ac:dyDescent="0.3">
      <c r="B15" s="18" t="s">
        <v>684</v>
      </c>
      <c r="C15" s="19" t="s">
        <v>685</v>
      </c>
      <c r="D15" s="28" t="s">
        <v>686</v>
      </c>
    </row>
    <row r="16" spans="2:4" ht="26.4" x14ac:dyDescent="0.3">
      <c r="B16" s="18" t="s">
        <v>687</v>
      </c>
      <c r="C16" s="19" t="s">
        <v>688</v>
      </c>
      <c r="D16" s="28" t="s">
        <v>689</v>
      </c>
    </row>
    <row r="17" spans="2:4" ht="26.4" x14ac:dyDescent="0.3">
      <c r="B17" s="18" t="s">
        <v>690</v>
      </c>
      <c r="C17" s="19" t="s">
        <v>691</v>
      </c>
      <c r="D17" s="28" t="s">
        <v>692</v>
      </c>
    </row>
    <row r="18" spans="2:4" ht="22.8" x14ac:dyDescent="0.3">
      <c r="B18" s="18" t="s">
        <v>693</v>
      </c>
      <c r="C18" s="19" t="s">
        <v>694</v>
      </c>
      <c r="D18" s="28" t="s">
        <v>695</v>
      </c>
    </row>
    <row r="21" spans="2:4" ht="19.5" customHeight="1" x14ac:dyDescent="0.3">
      <c r="B21" s="12" t="s">
        <v>696</v>
      </c>
      <c r="C21" s="12"/>
      <c r="D21" s="12"/>
    </row>
    <row r="22" spans="2:4" ht="27.75" customHeight="1" x14ac:dyDescent="0.3">
      <c r="B22" s="25" t="s">
        <v>697</v>
      </c>
      <c r="C22" s="25" t="s">
        <v>61</v>
      </c>
      <c r="D22" s="25" t="s">
        <v>698</v>
      </c>
    </row>
    <row r="23" spans="2:4" ht="91.2" x14ac:dyDescent="0.3">
      <c r="B23" s="18" t="s">
        <v>699</v>
      </c>
      <c r="C23" s="18" t="s">
        <v>700</v>
      </c>
      <c r="D23" s="28" t="s">
        <v>701</v>
      </c>
    </row>
    <row r="24" spans="2:4" ht="57" x14ac:dyDescent="0.3">
      <c r="B24" s="18" t="s">
        <v>702</v>
      </c>
      <c r="C24" s="18" t="s">
        <v>703</v>
      </c>
      <c r="D24" s="28" t="s">
        <v>704</v>
      </c>
    </row>
    <row r="25" spans="2:4" ht="57" x14ac:dyDescent="0.3">
      <c r="B25" s="18" t="s">
        <v>705</v>
      </c>
      <c r="C25" s="18" t="s">
        <v>706</v>
      </c>
      <c r="D25" s="28" t="s">
        <v>707</v>
      </c>
    </row>
    <row r="26" spans="2:4" ht="45.6" x14ac:dyDescent="0.3">
      <c r="B26" s="18" t="s">
        <v>708</v>
      </c>
      <c r="C26" s="18" t="s">
        <v>709</v>
      </c>
      <c r="D26" s="28" t="s">
        <v>710</v>
      </c>
    </row>
    <row r="27" spans="2:4" ht="34.200000000000003" x14ac:dyDescent="0.3">
      <c r="B27" s="18" t="s">
        <v>711</v>
      </c>
      <c r="C27" s="18" t="s">
        <v>712</v>
      </c>
      <c r="D27" s="28" t="s">
        <v>713</v>
      </c>
    </row>
    <row r="28" spans="2:4" ht="57" x14ac:dyDescent="0.3">
      <c r="B28" s="18" t="s">
        <v>714</v>
      </c>
      <c r="C28" s="18" t="s">
        <v>715</v>
      </c>
      <c r="D28" s="28" t="s">
        <v>716</v>
      </c>
    </row>
    <row r="29" spans="2:4" ht="34.200000000000003" x14ac:dyDescent="0.3">
      <c r="B29" s="18" t="s">
        <v>717</v>
      </c>
      <c r="C29" s="18" t="s">
        <v>718</v>
      </c>
      <c r="D29" s="28" t="s">
        <v>719</v>
      </c>
    </row>
    <row r="30" spans="2:4" ht="42" customHeight="1" x14ac:dyDescent="0.3">
      <c r="B30" s="18" t="s">
        <v>720</v>
      </c>
      <c r="C30" s="18" t="s">
        <v>721</v>
      </c>
      <c r="D30" s="28" t="s">
        <v>722</v>
      </c>
    </row>
    <row r="31" spans="2:4" ht="52.5" customHeight="1" x14ac:dyDescent="0.3">
      <c r="B31" s="18" t="s">
        <v>723</v>
      </c>
      <c r="C31" s="18" t="s">
        <v>724</v>
      </c>
      <c r="D31" s="28" t="s">
        <v>725</v>
      </c>
    </row>
    <row r="32" spans="2:4" ht="42.75" customHeight="1" x14ac:dyDescent="0.3">
      <c r="B32" s="18" t="s">
        <v>726</v>
      </c>
      <c r="C32" s="18" t="s">
        <v>727</v>
      </c>
      <c r="D32" s="28" t="s">
        <v>728</v>
      </c>
    </row>
    <row r="33" spans="2:4" ht="48" customHeight="1" x14ac:dyDescent="0.3">
      <c r="B33" s="18" t="s">
        <v>729</v>
      </c>
      <c r="C33" s="18" t="s">
        <v>730</v>
      </c>
      <c r="D33" s="28" t="s">
        <v>731</v>
      </c>
    </row>
    <row r="36" spans="2:4" ht="19.5" customHeight="1" x14ac:dyDescent="0.3">
      <c r="B36" s="12" t="s">
        <v>732</v>
      </c>
      <c r="C36" s="12"/>
      <c r="D36" s="12"/>
    </row>
    <row r="37" spans="2:4" ht="27.75" customHeight="1" x14ac:dyDescent="0.3">
      <c r="B37" s="25" t="s">
        <v>733</v>
      </c>
      <c r="C37" s="25" t="s">
        <v>734</v>
      </c>
      <c r="D37" s="25" t="s">
        <v>735</v>
      </c>
    </row>
    <row r="38" spans="2:4" ht="33" customHeight="1" x14ac:dyDescent="0.3">
      <c r="B38" s="18" t="s">
        <v>736</v>
      </c>
      <c r="C38" s="19" t="s">
        <v>737</v>
      </c>
      <c r="D38" s="28" t="s">
        <v>738</v>
      </c>
    </row>
    <row r="39" spans="2:4" ht="33" customHeight="1" x14ac:dyDescent="0.3">
      <c r="B39" s="18" t="s">
        <v>739</v>
      </c>
      <c r="C39" s="19" t="s">
        <v>740</v>
      </c>
      <c r="D39" s="28" t="s">
        <v>741</v>
      </c>
    </row>
    <row r="40" spans="2:4" ht="27" customHeight="1" x14ac:dyDescent="0.3">
      <c r="B40" s="18" t="s">
        <v>742</v>
      </c>
      <c r="C40" s="19" t="s">
        <v>743</v>
      </c>
      <c r="D40" s="28" t="s">
        <v>744</v>
      </c>
    </row>
    <row r="41" spans="2:4" ht="25.5" customHeight="1" x14ac:dyDescent="0.3">
      <c r="B41" s="18" t="s">
        <v>745</v>
      </c>
      <c r="C41" s="19" t="s">
        <v>746</v>
      </c>
      <c r="D41" s="28" t="s">
        <v>747</v>
      </c>
    </row>
    <row r="42" spans="2:4" ht="25.5" customHeight="1" x14ac:dyDescent="0.3">
      <c r="B42" s="18" t="s">
        <v>748</v>
      </c>
      <c r="C42" s="19" t="s">
        <v>749</v>
      </c>
      <c r="D42" s="28" t="s">
        <v>750</v>
      </c>
    </row>
    <row r="43" spans="2:4" ht="25.5" customHeight="1" x14ac:dyDescent="0.3">
      <c r="B43" s="18" t="s">
        <v>751</v>
      </c>
      <c r="C43" s="19" t="s">
        <v>752</v>
      </c>
      <c r="D43" s="28" t="s">
        <v>753</v>
      </c>
    </row>
    <row r="44" spans="2:4" ht="36.75" customHeight="1" x14ac:dyDescent="0.3">
      <c r="B44" s="18" t="s">
        <v>754</v>
      </c>
      <c r="C44" s="19" t="s">
        <v>755</v>
      </c>
      <c r="D44" s="28" t="s">
        <v>756</v>
      </c>
    </row>
    <row r="47" spans="2:4" ht="19.5" customHeight="1" x14ac:dyDescent="0.3">
      <c r="B47" s="12" t="s">
        <v>757</v>
      </c>
      <c r="C47" s="12"/>
      <c r="D47" s="12"/>
    </row>
    <row r="48" spans="2:4" ht="21.75" customHeight="1" x14ac:dyDescent="0.3">
      <c r="B48" s="10" t="s">
        <v>758</v>
      </c>
      <c r="C48" s="10"/>
      <c r="D48" s="10"/>
    </row>
    <row r="49" spans="2:4" ht="21.75" customHeight="1" x14ac:dyDescent="0.3">
      <c r="B49" s="10"/>
      <c r="C49" s="10"/>
      <c r="D49" s="10"/>
    </row>
    <row r="50" spans="2:4" ht="21.75" customHeight="1" x14ac:dyDescent="0.3">
      <c r="B50" s="10"/>
      <c r="C50" s="10"/>
      <c r="D50" s="10"/>
    </row>
    <row r="51" spans="2:4" ht="21.75" customHeight="1" x14ac:dyDescent="0.3">
      <c r="B51" s="10"/>
      <c r="C51" s="10"/>
      <c r="D51" s="10"/>
    </row>
    <row r="52" spans="2:4" ht="21.75" customHeight="1" x14ac:dyDescent="0.3">
      <c r="B52" s="10"/>
      <c r="C52" s="10"/>
      <c r="D52" s="10"/>
    </row>
    <row r="53" spans="2:4" ht="21.75" customHeight="1" x14ac:dyDescent="0.3">
      <c r="B53" s="10"/>
      <c r="C53" s="10"/>
      <c r="D53" s="10"/>
    </row>
    <row r="54" spans="2:4" ht="21.75" customHeight="1" x14ac:dyDescent="0.3">
      <c r="B54" s="10"/>
      <c r="C54" s="10"/>
      <c r="D54" s="10"/>
    </row>
    <row r="55" spans="2:4" ht="21.75" customHeight="1" x14ac:dyDescent="0.3">
      <c r="B55" s="10"/>
      <c r="C55" s="10"/>
      <c r="D55" s="10"/>
    </row>
    <row r="56" spans="2:4" ht="21.75" customHeight="1" x14ac:dyDescent="0.3">
      <c r="B56" s="10"/>
      <c r="C56" s="10"/>
      <c r="D56" s="10"/>
    </row>
    <row r="57" spans="2:4" ht="21.75" customHeight="1" x14ac:dyDescent="0.3">
      <c r="B57" s="10"/>
      <c r="C57" s="10"/>
      <c r="D57" s="10"/>
    </row>
  </sheetData>
  <mergeCells count="7">
    <mergeCell ref="B47:D47"/>
    <mergeCell ref="B48:D57"/>
    <mergeCell ref="B2:D2"/>
    <mergeCell ref="B3:D3"/>
    <mergeCell ref="B5:D5"/>
    <mergeCell ref="B21:D21"/>
    <mergeCell ref="B36:D3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Portada</vt:lpstr>
      <vt:lpstr>1. Resumen Ejecutivo</vt:lpstr>
      <vt:lpstr>2. Desperdicio Placas</vt:lpstr>
      <vt:lpstr>3. Desperdicio Perfiles</vt:lpstr>
      <vt:lpstr>4. Tornilleria</vt:lpstr>
      <vt:lpstr>5. Soldadura</vt:lpstr>
      <vt:lpstr>6. Conexiones</vt:lpstr>
      <vt:lpstr>7. Factores por HHton</vt:lpstr>
      <vt:lpstr>8. Ancho a Molino</vt:lpstr>
      <vt:lpstr>9. Calculadora</vt:lpstr>
      <vt:lpstr>10. Notas Tecnicas</vt:lpstr>
      <vt:lpstr>11. Referencias AISC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Daniel Michelena</cp:lastModifiedBy>
  <cp:revision>0</cp:revision>
  <cp:lastPrinted>2026-04-24T22:47:59Z</cp:lastPrinted>
  <dcterms:created xsi:type="dcterms:W3CDTF">2026-04-24T22:30:47Z</dcterms:created>
  <dcterms:modified xsi:type="dcterms:W3CDTF">2026-04-25T22:04:29Z</dcterms:modified>
  <dc:language>en-US</dc:language>
</cp:coreProperties>
</file>